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Guide" sheetId="1" state="visible" r:id="rId1"/>
    <sheet xmlns:r="http://schemas.openxmlformats.org/officeDocument/2006/relationships" name="Raw Data" sheetId="2" state="visible" r:id="rId2"/>
    <sheet xmlns:r="http://schemas.openxmlformats.org/officeDocument/2006/relationships" name="Analysis" sheetId="3" state="visible" r:id="rId3"/>
    <sheet xmlns:r="http://schemas.openxmlformats.org/officeDocument/2006/relationships" name="Visualizations" sheetId="4" state="visible" r:id="rId4"/>
    <sheet xmlns:r="http://schemas.openxmlformats.org/officeDocument/2006/relationships" name="Dashboard" sheetId="5" state="visible" r:id="rId5"/>
    <sheet xmlns:r="http://schemas.openxmlformats.org/officeDocument/2006/relationships" name="Final Report" sheetId="6" state="visible" r:id="rId6"/>
    <sheet xmlns:r="http://schemas.openxmlformats.org/officeDocument/2006/relationships" name="What-If Analysis" sheetId="7" state="visible" r:id="rId7"/>
    <sheet xmlns:r="http://schemas.openxmlformats.org/officeDocument/2006/relationships" name="Regression" sheetId="8" state="visible" r:id="rId8"/>
    <sheet xmlns:r="http://schemas.openxmlformats.org/officeDocument/2006/relationships" name="Lists &amp; Matching" sheetId="9" state="visible" r:id="rId9"/>
  </sheets>
  <definedNames>
    <definedName name="_xlnm._FilterDatabase" localSheetId="1" hidden="1">'Raw Data'!$A$1:$O$251</definedName>
  </definedNames>
  <calcPr calcId="124519" calcMode="auto" fullCalcOnLoad="1" forceFullCalc="1"/>
</workbook>
</file>

<file path=xl/styles.xml><?xml version="1.0" encoding="utf-8"?>
<styleSheet xmlns="http://schemas.openxmlformats.org/spreadsheetml/2006/main">
  <numFmts count="6">
    <numFmt numFmtId="164" formatCode="yyyy-mm-dd"/>
    <numFmt numFmtId="165" formatCode="dd-mmm-yyyy"/>
    <numFmt numFmtId="166" formatCode="₹#,##0.00"/>
    <numFmt numFmtId="167" formatCode="dd-mmm-yyyy hh:mm"/>
    <numFmt numFmtId="168" formatCode="mmm-yyyy"/>
    <numFmt numFmtId="169" formatCode="0.0%"/>
  </numFmts>
  <fonts count="10">
    <font>
      <name val="Calibri"/>
      <family val="2"/>
      <color theme="1"/>
      <sz val="11"/>
      <scheme val="minor"/>
    </font>
    <font>
      <name val="Aptos Display"/>
      <b val="1"/>
      <color rgb="00FFFFFF"/>
      <sz val="16"/>
    </font>
    <font>
      <b val="1"/>
      <color rgb="001F4E78"/>
    </font>
    <font>
      <b val="1"/>
      <color rgb="00FFFFFF"/>
    </font>
    <font>
      <b val="1"/>
      <color rgb="001F4E78"/>
      <sz val="12"/>
    </font>
    <font>
      <i val="1"/>
      <color rgb="0064748B"/>
    </font>
    <font>
      <b val="1"/>
      <color rgb="0017365D"/>
      <sz val="15"/>
    </font>
    <font>
      <b val="1"/>
      <color rgb="00C00000"/>
    </font>
    <font>
      <b val="1"/>
      <color rgb="001F4E78"/>
      <sz val="13"/>
    </font>
    <font>
      <name val="Aptos"/>
      <color rgb="00008000"/>
      <sz val="10"/>
    </font>
  </fonts>
  <fills count="6">
    <fill>
      <patternFill/>
    </fill>
    <fill>
      <patternFill patternType="gray125"/>
    </fill>
    <fill>
      <patternFill patternType="solid">
        <fgColor rgb="0017365D"/>
      </patternFill>
    </fill>
    <fill>
      <patternFill patternType="solid">
        <fgColor rgb="001F4E78"/>
      </patternFill>
    </fill>
    <fill>
      <patternFill patternType="solid">
        <fgColor rgb="000F6B78"/>
      </patternFill>
    </fill>
    <fill>
      <patternFill patternType="solid">
        <fgColor rgb="00D9EAF7"/>
      </patternFill>
    </fill>
  </fills>
  <borders count="3">
    <border>
      <left/>
      <right/>
      <top/>
      <bottom/>
      <diagonal/>
    </border>
    <border>
      <bottom style="hair">
        <color rgb="00E5EAF0"/>
      </bottom>
    </border>
    <border>
      <bottom style="thin">
        <color rgb="00D9E2F3"/>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0" fontId="3" fillId="3" borderId="0" applyAlignment="1" pivotButton="0" quotePrefix="0" xfId="0">
      <alignment vertical="center" wrapText="1"/>
    </xf>
    <xf numFmtId="0" fontId="0" fillId="0" borderId="1" applyAlignment="1" pivotButton="0" quotePrefix="0" xfId="0">
      <alignment vertical="center" wrapText="1"/>
    </xf>
    <xf numFmtId="165" fontId="0" fillId="0" borderId="1" applyAlignment="1" pivotButton="0" quotePrefix="0" xfId="0">
      <alignment vertical="center" wrapText="1"/>
    </xf>
    <xf numFmtId="166" fontId="0" fillId="0" borderId="1" applyAlignment="1" pivotButton="0" quotePrefix="0" xfId="0">
      <alignment vertical="center" wrapText="1"/>
    </xf>
    <xf numFmtId="166" fontId="9" fillId="0" borderId="1" applyAlignment="1" pivotButton="0" quotePrefix="0" xfId="0">
      <alignment vertical="center" wrapText="1"/>
    </xf>
    <xf numFmtId="0" fontId="9" fillId="0" borderId="1" applyAlignment="1" pivotButton="0" quotePrefix="0" xfId="0">
      <alignment vertical="center" wrapText="1"/>
    </xf>
    <xf numFmtId="167" fontId="9" fillId="0" borderId="1" applyAlignment="1" pivotButton="0" quotePrefix="0" xfId="0">
      <alignment vertical="center" wrapText="1"/>
    </xf>
    <xf numFmtId="0" fontId="3" fillId="3" borderId="2" applyAlignment="1" pivotButton="0" quotePrefix="0" xfId="0">
      <alignment vertical="center" wrapText="1"/>
    </xf>
    <xf numFmtId="166" fontId="9" fillId="0" borderId="0" applyAlignment="1" pivotButton="0" quotePrefix="0" xfId="0">
      <alignment vertical="center" wrapText="1"/>
    </xf>
    <xf numFmtId="0" fontId="9" fillId="0" borderId="0" applyAlignment="1" pivotButton="0" quotePrefix="0" xfId="0">
      <alignment vertical="center" wrapText="1"/>
    </xf>
    <xf numFmtId="165" fontId="9" fillId="0" borderId="0" applyAlignment="1" pivotButton="0" quotePrefix="0" xfId="0">
      <alignment vertical="center" wrapText="1"/>
    </xf>
    <xf numFmtId="167" fontId="9" fillId="0" borderId="0" applyAlignment="1" pivotButton="0" quotePrefix="0" xfId="0">
      <alignment vertical="center" wrapText="1"/>
    </xf>
    <xf numFmtId="0" fontId="4" fillId="0" borderId="0" applyAlignment="1" pivotButton="0" quotePrefix="0" xfId="0">
      <alignment vertical="center" wrapText="1"/>
    </xf>
    <xf numFmtId="168" fontId="0" fillId="0" borderId="0" applyAlignment="1" pivotButton="0" quotePrefix="0" xfId="0">
      <alignment vertical="center" wrapText="1"/>
    </xf>
    <xf numFmtId="0" fontId="5" fillId="0" borderId="0" applyAlignment="1" pivotButton="0" quotePrefix="0" xfId="0">
      <alignment vertical="center" wrapText="1"/>
    </xf>
    <xf numFmtId="0" fontId="3" fillId="4" borderId="0" applyAlignment="1" pivotButton="0" quotePrefix="0" xfId="0">
      <alignment vertical="center" wrapText="1"/>
    </xf>
    <xf numFmtId="0" fontId="9" fillId="5" borderId="0" applyAlignment="1" pivotButton="0" quotePrefix="0" xfId="0">
      <alignment vertical="center" wrapText="1"/>
    </xf>
    <xf numFmtId="0" fontId="8" fillId="0" borderId="0" applyAlignment="1" pivotButton="0" quotePrefix="0" xfId="0">
      <alignment vertical="center" wrapText="1"/>
    </xf>
    <xf numFmtId="169" fontId="0" fillId="0" borderId="0" applyAlignment="1" pivotButton="0" quotePrefix="0" xfId="0">
      <alignment vertical="center" wrapText="1"/>
    </xf>
    <xf numFmtId="169" fontId="9" fillId="0" borderId="0" applyAlignment="1" pivotButton="0" quotePrefix="0" xfId="0">
      <alignment vertical="center" wrapText="1"/>
    </xf>
    <xf numFmtId="0" fontId="7"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by Region</a:t>
            </a:r>
          </a:p>
        </rich>
      </tx>
    </title>
    <plotArea>
      <barChart>
        <barDir val="bar"/>
        <grouping val="clustered"/>
        <ser>
          <idx val="0"/>
          <order val="0"/>
          <tx>
            <strRef>
              <f>'Analysis'!B17</f>
            </strRef>
          </tx>
          <spPr>
            <a:ln xmlns:a="http://schemas.openxmlformats.org/drawingml/2006/main">
              <a:prstDash val="solid"/>
            </a:ln>
          </spPr>
          <cat>
            <numRef>
              <f>'Analysis'!$A$18:$A$22</f>
            </numRef>
          </cat>
          <val>
            <numRef>
              <f>'Analysis'!$B$18:$B$22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Revenue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Region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Revenue Share by Product</a:t>
            </a:r>
          </a:p>
        </rich>
      </tx>
    </title>
    <plotArea>
      <pieChart>
        <varyColors val="1"/>
        <ser>
          <idx val="0"/>
          <order val="0"/>
          <tx>
            <strRef>
              <f>'Analysis'!F17</f>
            </strRef>
          </tx>
          <spPr>
            <a:ln xmlns:a="http://schemas.openxmlformats.org/drawingml/2006/main">
              <a:prstDash val="solid"/>
            </a:ln>
          </spPr>
          <cat>
            <numRef>
              <f>'Analysis'!$E$18:$E$27</f>
            </numRef>
          </cat>
          <val>
            <numRef>
              <f>'Analysis'!$F$18:$F$27</f>
            </numRef>
          </val>
        </ser>
        <dLbls>
          <showPercent val="1"/>
          <showLeaderLines val="1"/>
        </dLbls>
        <firstSliceAng val="0"/>
      </pieChart>
    </plotArea>
    <legend>
      <legendPos val="r"/>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Monthly Revenue Trend</a:t>
            </a:r>
          </a:p>
        </rich>
      </tx>
    </title>
    <plotArea>
      <lineChart>
        <grouping val="standard"/>
        <ser>
          <idx val="0"/>
          <order val="0"/>
          <tx>
            <strRef>
              <f>'Analysis'!B27</f>
            </strRef>
          </tx>
          <spPr>
            <a:ln xmlns:a="http://schemas.openxmlformats.org/drawingml/2006/main">
              <a:prstDash val="solid"/>
            </a:ln>
          </spPr>
          <marker>
            <symbol val="none"/>
            <spPr>
              <a:ln xmlns:a="http://schemas.openxmlformats.org/drawingml/2006/main">
                <a:prstDash val="solid"/>
              </a:ln>
            </spPr>
          </marker>
          <cat>
            <numRef>
              <f>'Analysis'!$A$28:$A$49</f>
            </numRef>
          </cat>
          <val>
            <numRef>
              <f>'Analysis'!$B$28:$B$49</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Revenue by Region</a:t>
            </a:r>
          </a:p>
        </rich>
      </tx>
    </title>
    <plotArea>
      <barChart>
        <barDir val="bar"/>
        <grouping val="clustered"/>
        <ser>
          <idx val="0"/>
          <order val="0"/>
          <tx>
            <strRef>
              <f>'Analysis'!B17</f>
            </strRef>
          </tx>
          <spPr>
            <a:ln xmlns:a="http://schemas.openxmlformats.org/drawingml/2006/main">
              <a:prstDash val="solid"/>
            </a:ln>
          </spPr>
          <cat>
            <numRef>
              <f>'Analysis'!$A$18:$A$22</f>
            </numRef>
          </cat>
          <val>
            <numRef>
              <f>'Analysis'!$B$18:$B$22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Revenue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Region</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Revenue Share by Product</a:t>
            </a:r>
          </a:p>
        </rich>
      </tx>
    </title>
    <plotArea>
      <pieChart>
        <varyColors val="1"/>
        <ser>
          <idx val="0"/>
          <order val="0"/>
          <tx>
            <strRef>
              <f>'Analysis'!F17</f>
            </strRef>
          </tx>
          <spPr>
            <a:ln xmlns:a="http://schemas.openxmlformats.org/drawingml/2006/main">
              <a:prstDash val="solid"/>
            </a:ln>
          </spPr>
          <cat>
            <numRef>
              <f>'Analysis'!$E$18:$E$27</f>
            </numRef>
          </cat>
          <val>
            <numRef>
              <f>'Analysis'!$F$18:$F$27</f>
            </numRef>
          </val>
        </ser>
        <dLbls>
          <showPercent val="1"/>
          <showLeaderLines val="1"/>
        </dLbls>
        <firstSliceAng val="0"/>
      </pieChart>
    </plotArea>
    <legend>
      <legendPos val="r"/>
    </legend>
    <plotVisOnly val="1"/>
    <dispBlanksAs val="gap"/>
  </chart>
</chartSpace>
</file>

<file path=xl/charts/chart6.xml><?xml version="1.0" encoding="utf-8"?>
<chartSpace xmlns="http://schemas.openxmlformats.org/drawingml/2006/chart">
  <style val="13"/>
  <chart>
    <title>
      <tx>
        <rich>
          <a:bodyPr xmlns:a="http://schemas.openxmlformats.org/drawingml/2006/main"/>
          <a:p xmlns:a="http://schemas.openxmlformats.org/drawingml/2006/main">
            <a:pPr>
              <a:defRPr/>
            </a:pPr>
            <a:r>
              <a:t>Monthly Revenue Trend</a:t>
            </a:r>
          </a:p>
        </rich>
      </tx>
    </title>
    <plotArea>
      <lineChart>
        <grouping val="standard"/>
        <ser>
          <idx val="0"/>
          <order val="0"/>
          <tx>
            <strRef>
              <f>'Analysis'!B27</f>
            </strRef>
          </tx>
          <spPr>
            <a:ln xmlns:a="http://schemas.openxmlformats.org/drawingml/2006/main">
              <a:prstDash val="solid"/>
            </a:ln>
          </spPr>
          <marker>
            <symbol val="none"/>
            <spPr>
              <a:ln xmlns:a="http://schemas.openxmlformats.org/drawingml/2006/main">
                <a:prstDash val="solid"/>
              </a:ln>
            </spPr>
          </marker>
          <cat>
            <numRef>
              <f>'Analysis'!$A$28:$A$49</f>
            </numRef>
          </cat>
          <val>
            <numRef>
              <f>'Analysis'!$B$28:$B$49</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drawing1.xml><?xml version="1.0" encoding="utf-8"?>
<wsDr xmlns="http://schemas.openxmlformats.org/drawingml/2006/spreadsheetDrawing">
  <oneCellAnchor>
    <from>
      <col>0</col>
      <colOff>0</colOff>
      <row>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19</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0</col>
      <colOff>0</colOff>
      <row>10</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10</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ransactions" displayName="Transactions" ref="A1:O251" headerRowCount="1">
  <autoFilter ref="A1:O251"/>
  <tableColumns count="15">
    <tableColumn id="1" name="Transaction ID"/>
    <tableColumn id="2" name="Transaction Date"/>
    <tableColumn id="3" name="Customer ID"/>
    <tableColumn id="4" name="Customer Name"/>
    <tableColumn id="5" name="Region"/>
    <tableColumn id="6" name="Product"/>
    <tableColumn id="7" name="Category"/>
    <tableColumn id="8" name="Quantity"/>
    <tableColumn id="9" name="Unit Price (₹)"/>
    <tableColumn id="10" name="Revenue (₹)"/>
    <tableColumn id="11" name="Payment Method"/>
    <tableColumn id="12" name="Sales Channel"/>
    <tableColumn id="13" name="Month"/>
    <tableColumn id="14" name="Customer Tenure (Days)"/>
    <tableColumn id="15" name="Timestamp (NOW)"/>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4E78"/>
    <outlinePr summaryBelow="1" summaryRight="1"/>
    <pageSetUpPr fitToPage="1"/>
  </sheetPr>
  <dimension ref="A1:H11"/>
  <sheetViews>
    <sheetView showGridLines="0" workbookViewId="0">
      <pane ySplit="2" topLeftCell="A3"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PR. Final Project — "Data Intelligence Dashboard"</t>
        </is>
      </c>
    </row>
    <row r="2"/>
    <row r="3" ht="28" customHeight="1">
      <c r="A3" s="2" t="inlineStr">
        <is>
          <t>Purpose</t>
        </is>
      </c>
      <c r="B3" s="3" t="inlineStr">
        <is>
          <t>Analyze customer transactions and communicate business insights with Excel formulas, charts and a dashboard.</t>
        </is>
      </c>
    </row>
    <row r="4" ht="36" customHeight="1">
      <c r="A4" s="2" t="inlineStr">
        <is>
          <t>Dataset</t>
        </is>
      </c>
      <c r="B4" s="3" t="inlineStr">
        <is>
          <t>A sample dataset of 250 customer transactions is included on the Raw Data sheet. Replace it with your instructor's dataset if provided.</t>
        </is>
      </c>
    </row>
    <row r="5" ht="36" customHeight="1">
      <c r="A5" s="2" t="inlineStr">
        <is>
          <t>Workbook map</t>
        </is>
      </c>
      <c r="B5" s="3" t="inlineStr">
        <is>
          <t>Raw Data = source transactions | Analysis = formula-based summaries | Visualizations = charts | Dashboard = KPIs and visuals | What-If Analysis = scenarios and Goal Seek setup | Regression = linear trend model | Lists &amp; Matching = repeated values, matching names and abbreviations | Final Report = insights.</t>
        </is>
      </c>
    </row>
    <row r="6" ht="28" customHeight="1">
      <c r="A6" s="2" t="inlineStr">
        <is>
          <t>Key functions</t>
        </is>
      </c>
      <c r="B6" s="3" t="inlineStr">
        <is>
          <t>TODAY, NOW, DATEDIF, EOMONTH, FILTER, COUNTIF, SUMIF, SUMIFS, AVERAGEIF, IF, TEXT, LEFT, XLOOKUP/COUNTIF-style matching.</t>
        </is>
      </c>
    </row>
    <row r="7" ht="36" customHeight="1">
      <c r="A7" s="2" t="inlineStr">
        <is>
          <t>Timestamp note</t>
        </is>
      </c>
      <c r="B7" s="3" t="inlineStr">
        <is>
          <t>The Timestamp column uses NOW() as a live formula example. Enable iterative calculation in Excel if you want to test a fixed timestamp workflow; otherwise it updates when recalculated.</t>
        </is>
      </c>
    </row>
    <row r="8" ht="36" customHeight="1">
      <c r="A8" s="2" t="inlineStr">
        <is>
          <t>FILTER note</t>
        </is>
      </c>
      <c r="B8" s="3" t="inlineStr">
        <is>
          <t>FILTER is supported in Microsoft 365 / Excel 2021+. If your Excel version does not support FILTER, use the helper formula noted in Analysis.</t>
        </is>
      </c>
    </row>
    <row r="9" ht="36" customHeight="1">
      <c r="A9" s="2" t="inlineStr">
        <is>
          <t>Pivot Tables</t>
        </is>
      </c>
      <c r="B9" s="3" t="inlineStr">
        <is>
          <t>The workbook includes formula-driven summaries and dashboard charts. To create native PivotTables/Slicers/Timelines, select the Raw Data table in Excel and use Insert &gt; PivotTable, then Insert Slicer/Timeline.</t>
        </is>
      </c>
    </row>
    <row r="10" ht="36" customHeight="1">
      <c r="A10" s="2" t="inlineStr">
        <is>
          <t>Regression</t>
        </is>
      </c>
      <c r="B10" s="3" t="inlineStr">
        <is>
          <t>The Regression sheet provides a transparent slope/intercept calculation using SLOPE and INTERCEPT. The Data Analysis ToolPak can be used to validate the model.</t>
        </is>
      </c>
    </row>
    <row r="11" ht="36" customHeight="1">
      <c r="A11" s="2" t="inlineStr">
        <is>
          <t>How to use</t>
        </is>
      </c>
      <c r="B11" s="3" t="inlineStr">
        <is>
          <t>Start at Dashboard, inspect the Analysis sheet formulas, and read Final Report. Formulas are included in cells for review and editing.</t>
        </is>
      </c>
    </row>
  </sheetData>
  <mergeCells count="10">
    <mergeCell ref="B8:H8"/>
    <mergeCell ref="B9:H9"/>
    <mergeCell ref="B4:H4"/>
    <mergeCell ref="B6:H6"/>
    <mergeCell ref="B7:H7"/>
    <mergeCell ref="A1:H1"/>
    <mergeCell ref="B10:H10"/>
    <mergeCell ref="B3:H3"/>
    <mergeCell ref="B5:H5"/>
    <mergeCell ref="B11:H11"/>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fitToPage="1"/>
  </sheetPr>
  <dimension ref="A1:O251"/>
  <sheetViews>
    <sheetView showGridLines="0" workbookViewId="0">
      <pane ySplit="1" topLeftCell="A2" activePane="bottomLeft" state="frozen"/>
      <selection pane="bottomLeft" activeCell="A1" sqref="A1"/>
    </sheetView>
  </sheetViews>
  <sheetFormatPr baseColWidth="8" defaultRowHeight="15"/>
  <cols>
    <col width="16" customWidth="1" min="1" max="1"/>
    <col width="17" customWidth="1" min="2" max="2"/>
    <col width="13" customWidth="1" min="3" max="3"/>
    <col width="22" customWidth="1" min="4" max="4"/>
    <col width="14" customWidth="1" min="5" max="5"/>
    <col width="20" customWidth="1" min="6" max="6"/>
    <col width="16" customWidth="1" min="7" max="7"/>
    <col width="12" customWidth="1" min="8" max="8"/>
    <col width="16" customWidth="1" min="9" max="9"/>
    <col width="16" customWidth="1" min="10" max="10"/>
    <col width="18" customWidth="1" min="11" max="11"/>
    <col width="16" customWidth="1" min="12" max="12"/>
    <col width="15" customWidth="1" min="13" max="13"/>
    <col width="22" customWidth="1" min="14" max="14"/>
    <col width="22" customWidth="1" min="15" max="15"/>
  </cols>
  <sheetData>
    <row r="1">
      <c r="A1" s="4" t="inlineStr">
        <is>
          <t>Transaction ID</t>
        </is>
      </c>
      <c r="B1" s="4" t="inlineStr">
        <is>
          <t>Transaction Date</t>
        </is>
      </c>
      <c r="C1" s="4" t="inlineStr">
        <is>
          <t>Customer ID</t>
        </is>
      </c>
      <c r="D1" s="4" t="inlineStr">
        <is>
          <t>Customer Name</t>
        </is>
      </c>
      <c r="E1" s="4" t="inlineStr">
        <is>
          <t>Region</t>
        </is>
      </c>
      <c r="F1" s="4" t="inlineStr">
        <is>
          <t>Product</t>
        </is>
      </c>
      <c r="G1" s="4" t="inlineStr">
        <is>
          <t>Category</t>
        </is>
      </c>
      <c r="H1" s="4" t="inlineStr">
        <is>
          <t>Quantity</t>
        </is>
      </c>
      <c r="I1" s="4" t="inlineStr">
        <is>
          <t>Unit Price (₹)</t>
        </is>
      </c>
      <c r="J1" s="4" t="inlineStr">
        <is>
          <t>Revenue (₹)</t>
        </is>
      </c>
      <c r="K1" s="4" t="inlineStr">
        <is>
          <t>Payment Method</t>
        </is>
      </c>
      <c r="L1" s="4" t="inlineStr">
        <is>
          <t>Sales Channel</t>
        </is>
      </c>
      <c r="M1" s="4" t="inlineStr">
        <is>
          <t>Month</t>
        </is>
      </c>
      <c r="N1" s="4" t="inlineStr">
        <is>
          <t>Customer Tenure (Days)</t>
        </is>
      </c>
      <c r="O1" s="4" t="inlineStr">
        <is>
          <t>Timestamp (NOW)</t>
        </is>
      </c>
    </row>
    <row r="2">
      <c r="A2" s="5" t="inlineStr">
        <is>
          <t>T0001</t>
        </is>
      </c>
      <c r="B2" s="6" t="n">
        <v>45772</v>
      </c>
      <c r="C2" s="5" t="inlineStr">
        <is>
          <t>C001</t>
        </is>
      </c>
      <c r="D2" s="5" t="inlineStr">
        <is>
          <t>Aarav Patel</t>
        </is>
      </c>
      <c r="E2" s="5" t="inlineStr">
        <is>
          <t>North</t>
        </is>
      </c>
      <c r="F2" s="5" t="inlineStr">
        <is>
          <t>Premium Pen</t>
        </is>
      </c>
      <c r="G2" s="5" t="inlineStr">
        <is>
          <t>Stationery</t>
        </is>
      </c>
      <c r="H2" s="5" t="n">
        <v>1</v>
      </c>
      <c r="I2" s="7" t="n">
        <v>399</v>
      </c>
      <c r="J2" s="8">
        <f>H2*I2</f>
        <v/>
      </c>
      <c r="K2" s="5" t="inlineStr">
        <is>
          <t>UPI</t>
        </is>
      </c>
      <c r="L2" s="5" t="inlineStr">
        <is>
          <t>Mobile App</t>
        </is>
      </c>
      <c r="M2" s="9">
        <f>TEXT(B2,"mmm-yyyy")</f>
        <v/>
      </c>
      <c r="N2" s="9">
        <f>DATEDIF(B2,TODAY(),"d")</f>
        <v/>
      </c>
      <c r="O2" s="10">
        <f>NOW()</f>
        <v/>
      </c>
    </row>
    <row r="3">
      <c r="A3" s="5" t="inlineStr">
        <is>
          <t>T0002</t>
        </is>
      </c>
      <c r="B3" s="6" t="n">
        <v>46216</v>
      </c>
      <c r="C3" s="5" t="inlineStr">
        <is>
          <t>C003</t>
        </is>
      </c>
      <c r="D3" s="5" t="inlineStr">
        <is>
          <t>Vivaan Mehta</t>
        </is>
      </c>
      <c r="E3" s="5" t="inlineStr">
        <is>
          <t>West</t>
        </is>
      </c>
      <c r="F3" s="5" t="inlineStr">
        <is>
          <t>Headphones</t>
        </is>
      </c>
      <c r="G3" s="5" t="inlineStr">
        <is>
          <t>Electronics</t>
        </is>
      </c>
      <c r="H3" s="5" t="n">
        <v>2</v>
      </c>
      <c r="I3" s="7" t="n">
        <v>2499</v>
      </c>
      <c r="J3" s="8">
        <f>H3*I3</f>
        <v/>
      </c>
      <c r="K3" s="5" t="inlineStr">
        <is>
          <t>UPI</t>
        </is>
      </c>
      <c r="L3" s="5" t="inlineStr">
        <is>
          <t>Online</t>
        </is>
      </c>
      <c r="M3" s="9">
        <f>TEXT(B3,"mmm-yyyy")</f>
        <v/>
      </c>
      <c r="N3" s="9">
        <f>DATEDIF(B3,TODAY(),"d")</f>
        <v/>
      </c>
      <c r="O3" s="10">
        <f>NOW()</f>
        <v/>
      </c>
    </row>
    <row r="4">
      <c r="A4" s="5" t="inlineStr">
        <is>
          <t>T0003</t>
        </is>
      </c>
      <c r="B4" s="6" t="n">
        <v>45896</v>
      </c>
      <c r="C4" s="5" t="inlineStr">
        <is>
          <t>C017</t>
        </is>
      </c>
      <c r="D4" s="5" t="inlineStr">
        <is>
          <t>Kabir Mehta</t>
        </is>
      </c>
      <c r="E4" s="5" t="inlineStr">
        <is>
          <t>North</t>
        </is>
      </c>
      <c r="F4" s="5" t="inlineStr">
        <is>
          <t>Headphones</t>
        </is>
      </c>
      <c r="G4" s="5" t="inlineStr">
        <is>
          <t>Electronics</t>
        </is>
      </c>
      <c r="H4" s="5" t="n">
        <v>1</v>
      </c>
      <c r="I4" s="7" t="n">
        <v>2499</v>
      </c>
      <c r="J4" s="8">
        <f>H4*I4</f>
        <v/>
      </c>
      <c r="K4" s="5" t="inlineStr">
        <is>
          <t>Net Banking</t>
        </is>
      </c>
      <c r="L4" s="5" t="inlineStr">
        <is>
          <t>Store</t>
        </is>
      </c>
      <c r="M4" s="9">
        <f>TEXT(B4,"mmm-yyyy")</f>
        <v/>
      </c>
      <c r="N4" s="9">
        <f>DATEDIF(B4,TODAY(),"d")</f>
        <v/>
      </c>
      <c r="O4" s="10">
        <f>NOW()</f>
        <v/>
      </c>
    </row>
    <row r="5">
      <c r="A5" s="5" t="inlineStr">
        <is>
          <t>T0004</t>
        </is>
      </c>
      <c r="B5" s="6" t="n">
        <v>45883</v>
      </c>
      <c r="C5" s="5" t="inlineStr">
        <is>
          <t>C015</t>
        </is>
      </c>
      <c r="D5" s="5" t="inlineStr">
        <is>
          <t>Dev Shah</t>
        </is>
      </c>
      <c r="E5" s="5" t="inlineStr">
        <is>
          <t>West</t>
        </is>
      </c>
      <c r="F5" s="5" t="inlineStr">
        <is>
          <t>Headphones</t>
        </is>
      </c>
      <c r="G5" s="5" t="inlineStr">
        <is>
          <t>Electronics</t>
        </is>
      </c>
      <c r="H5" s="5" t="n">
        <v>1</v>
      </c>
      <c r="I5" s="7" t="n">
        <v>2499</v>
      </c>
      <c r="J5" s="8">
        <f>H5*I5</f>
        <v/>
      </c>
      <c r="K5" s="5" t="inlineStr">
        <is>
          <t>Credit Card</t>
        </is>
      </c>
      <c r="L5" s="5" t="inlineStr">
        <is>
          <t>Mobile App</t>
        </is>
      </c>
      <c r="M5" s="9">
        <f>TEXT(B5,"mmm-yyyy")</f>
        <v/>
      </c>
      <c r="N5" s="9">
        <f>DATEDIF(B5,TODAY(),"d")</f>
        <v/>
      </c>
      <c r="O5" s="10">
        <f>NOW()</f>
        <v/>
      </c>
    </row>
    <row r="6">
      <c r="A6" s="5" t="inlineStr">
        <is>
          <t>T0005</t>
        </is>
      </c>
      <c r="B6" s="6" t="n">
        <v>46090</v>
      </c>
      <c r="C6" s="5" t="inlineStr">
        <is>
          <t>C011</t>
        </is>
      </c>
      <c r="D6" s="5" t="inlineStr">
        <is>
          <t>Krish Dave</t>
        </is>
      </c>
      <c r="E6" s="5" t="inlineStr">
        <is>
          <t>South</t>
        </is>
      </c>
      <c r="F6" s="5" t="inlineStr">
        <is>
          <t>Premium Pen</t>
        </is>
      </c>
      <c r="G6" s="5" t="inlineStr">
        <is>
          <t>Stationery</t>
        </is>
      </c>
      <c r="H6" s="5" t="n">
        <v>1</v>
      </c>
      <c r="I6" s="7" t="n">
        <v>399</v>
      </c>
      <c r="J6" s="8">
        <f>H6*I6</f>
        <v/>
      </c>
      <c r="K6" s="5" t="inlineStr">
        <is>
          <t>UPI</t>
        </is>
      </c>
      <c r="L6" s="5" t="inlineStr">
        <is>
          <t>Online</t>
        </is>
      </c>
      <c r="M6" s="9">
        <f>TEXT(B6,"mmm-yyyy")</f>
        <v/>
      </c>
      <c r="N6" s="9">
        <f>DATEDIF(B6,TODAY(),"d")</f>
        <v/>
      </c>
      <c r="O6" s="10">
        <f>NOW()</f>
        <v/>
      </c>
    </row>
    <row r="7">
      <c r="A7" s="5" t="inlineStr">
        <is>
          <t>T0006</t>
        </is>
      </c>
      <c r="B7" s="6" t="n">
        <v>46047</v>
      </c>
      <c r="C7" s="5" t="inlineStr">
        <is>
          <t>C004</t>
        </is>
      </c>
      <c r="D7" s="5" t="inlineStr">
        <is>
          <t>Anaya Desai</t>
        </is>
      </c>
      <c r="E7" s="5" t="inlineStr">
        <is>
          <t>Central</t>
        </is>
      </c>
      <c r="F7" s="5" t="inlineStr">
        <is>
          <t>Water Bottle</t>
        </is>
      </c>
      <c r="G7" s="5" t="inlineStr">
        <is>
          <t>Lifestyle</t>
        </is>
      </c>
      <c r="H7" s="5" t="n">
        <v>4</v>
      </c>
      <c r="I7" s="7" t="n">
        <v>599</v>
      </c>
      <c r="J7" s="8">
        <f>H7*I7</f>
        <v/>
      </c>
      <c r="K7" s="5" t="inlineStr">
        <is>
          <t>Debit Card</t>
        </is>
      </c>
      <c r="L7" s="5" t="inlineStr">
        <is>
          <t>Online</t>
        </is>
      </c>
      <c r="M7" s="9">
        <f>TEXT(B7,"mmm-yyyy")</f>
        <v/>
      </c>
      <c r="N7" s="9">
        <f>DATEDIF(B7,TODAY(),"d")</f>
        <v/>
      </c>
      <c r="O7" s="10">
        <f>NOW()</f>
        <v/>
      </c>
    </row>
    <row r="8">
      <c r="A8" s="5" t="inlineStr">
        <is>
          <t>T0007</t>
        </is>
      </c>
      <c r="B8" s="6" t="n">
        <v>46128</v>
      </c>
      <c r="C8" s="5" t="inlineStr">
        <is>
          <t>C018</t>
        </is>
      </c>
      <c r="D8" s="5" t="inlineStr">
        <is>
          <t>Navya Desai</t>
        </is>
      </c>
      <c r="E8" s="5" t="inlineStr">
        <is>
          <t>East</t>
        </is>
      </c>
      <c r="F8" s="5" t="inlineStr">
        <is>
          <t>Keyboard</t>
        </is>
      </c>
      <c r="G8" s="5" t="inlineStr">
        <is>
          <t>Electronics</t>
        </is>
      </c>
      <c r="H8" s="5" t="n">
        <v>6</v>
      </c>
      <c r="I8" s="7" t="n">
        <v>1299</v>
      </c>
      <c r="J8" s="8">
        <f>H8*I8</f>
        <v/>
      </c>
      <c r="K8" s="5" t="inlineStr">
        <is>
          <t>UPI</t>
        </is>
      </c>
      <c r="L8" s="5" t="inlineStr">
        <is>
          <t>Mobile App</t>
        </is>
      </c>
      <c r="M8" s="9">
        <f>TEXT(B8,"mmm-yyyy")</f>
        <v/>
      </c>
      <c r="N8" s="9">
        <f>DATEDIF(B8,TODAY(),"d")</f>
        <v/>
      </c>
      <c r="O8" s="10">
        <f>NOW()</f>
        <v/>
      </c>
    </row>
    <row r="9">
      <c r="A9" s="5" t="inlineStr">
        <is>
          <t>T0008</t>
        </is>
      </c>
      <c r="B9" s="6" t="n">
        <v>45958</v>
      </c>
      <c r="C9" s="5" t="inlineStr">
        <is>
          <t>C027</t>
        </is>
      </c>
      <c r="D9" s="5" t="inlineStr">
        <is>
          <t>Ayaan Desai</t>
        </is>
      </c>
      <c r="E9" s="5" t="inlineStr">
        <is>
          <t>South</t>
        </is>
      </c>
      <c r="F9" s="5" t="inlineStr">
        <is>
          <t>Headphones</t>
        </is>
      </c>
      <c r="G9" s="5" t="inlineStr">
        <is>
          <t>Electronics</t>
        </is>
      </c>
      <c r="H9" s="5" t="n">
        <v>4</v>
      </c>
      <c r="I9" s="7" t="n">
        <v>2499</v>
      </c>
      <c r="J9" s="8">
        <f>H9*I9</f>
        <v/>
      </c>
      <c r="K9" s="5" t="inlineStr">
        <is>
          <t>Net Banking</t>
        </is>
      </c>
      <c r="L9" s="5" t="inlineStr">
        <is>
          <t>Online</t>
        </is>
      </c>
      <c r="M9" s="9">
        <f>TEXT(B9,"mmm-yyyy")</f>
        <v/>
      </c>
      <c r="N9" s="9">
        <f>DATEDIF(B9,TODAY(),"d")</f>
        <v/>
      </c>
      <c r="O9" s="10">
        <f>NOW()</f>
        <v/>
      </c>
    </row>
    <row r="10">
      <c r="A10" s="5" t="inlineStr">
        <is>
          <t>T0009</t>
        </is>
      </c>
      <c r="B10" s="6" t="n">
        <v>45729</v>
      </c>
      <c r="C10" s="5" t="inlineStr">
        <is>
          <t>C002</t>
        </is>
      </c>
      <c r="D10" s="5" t="inlineStr">
        <is>
          <t>Diya Shah</t>
        </is>
      </c>
      <c r="E10" s="5" t="inlineStr">
        <is>
          <t>West</t>
        </is>
      </c>
      <c r="F10" s="5" t="inlineStr">
        <is>
          <t>Notebook Pack</t>
        </is>
      </c>
      <c r="G10" s="5" t="inlineStr">
        <is>
          <t>Stationery</t>
        </is>
      </c>
      <c r="H10" s="5" t="n">
        <v>3</v>
      </c>
      <c r="I10" s="7" t="n">
        <v>249</v>
      </c>
      <c r="J10" s="8">
        <f>H10*I10</f>
        <v/>
      </c>
      <c r="K10" s="5" t="inlineStr">
        <is>
          <t>Credit Card</t>
        </is>
      </c>
      <c r="L10" s="5" t="inlineStr">
        <is>
          <t>Online</t>
        </is>
      </c>
      <c r="M10" s="9">
        <f>TEXT(B10,"mmm-yyyy")</f>
        <v/>
      </c>
      <c r="N10" s="9">
        <f>DATEDIF(B10,TODAY(),"d")</f>
        <v/>
      </c>
      <c r="O10" s="10">
        <f>NOW()</f>
        <v/>
      </c>
    </row>
    <row r="11">
      <c r="A11" s="5" t="inlineStr">
        <is>
          <t>T0010</t>
        </is>
      </c>
      <c r="B11" s="6" t="n">
        <v>46047</v>
      </c>
      <c r="C11" s="5" t="inlineStr">
        <is>
          <t>C009</t>
        </is>
      </c>
      <c r="D11" s="5" t="inlineStr">
        <is>
          <t>Aditya Patel</t>
        </is>
      </c>
      <c r="E11" s="5" t="inlineStr">
        <is>
          <t>South</t>
        </is>
      </c>
      <c r="F11" s="5" t="inlineStr">
        <is>
          <t>Desk Lamp</t>
        </is>
      </c>
      <c r="G11" s="5" t="inlineStr">
        <is>
          <t>Home</t>
        </is>
      </c>
      <c r="H11" s="5" t="n">
        <v>3</v>
      </c>
      <c r="I11" s="7" t="n">
        <v>1099</v>
      </c>
      <c r="J11" s="8">
        <f>H11*I11</f>
        <v/>
      </c>
      <c r="K11" s="5" t="inlineStr">
        <is>
          <t>Credit Card</t>
        </is>
      </c>
      <c r="L11" s="5" t="inlineStr">
        <is>
          <t>Store</t>
        </is>
      </c>
      <c r="M11" s="9">
        <f>TEXT(B11,"mmm-yyyy")</f>
        <v/>
      </c>
      <c r="N11" s="9">
        <f>DATEDIF(B11,TODAY(),"d")</f>
        <v/>
      </c>
      <c r="O11" s="10">
        <f>NOW()</f>
        <v/>
      </c>
    </row>
    <row r="12">
      <c r="A12" s="5" t="inlineStr">
        <is>
          <t>T0011</t>
        </is>
      </c>
      <c r="B12" s="6" t="n">
        <v>46021</v>
      </c>
      <c r="C12" s="5" t="inlineStr">
        <is>
          <t>C007</t>
        </is>
      </c>
      <c r="D12" s="5" t="inlineStr">
        <is>
          <t>Reyansh Modi</t>
        </is>
      </c>
      <c r="E12" s="5" t="inlineStr">
        <is>
          <t>West</t>
        </is>
      </c>
      <c r="F12" s="5" t="inlineStr">
        <is>
          <t>Premium Pen</t>
        </is>
      </c>
      <c r="G12" s="5" t="inlineStr">
        <is>
          <t>Stationery</t>
        </is>
      </c>
      <c r="H12" s="5" t="n">
        <v>3</v>
      </c>
      <c r="I12" s="7" t="n">
        <v>399</v>
      </c>
      <c r="J12" s="8">
        <f>H12*I12</f>
        <v/>
      </c>
      <c r="K12" s="5" t="inlineStr">
        <is>
          <t>Net Banking</t>
        </is>
      </c>
      <c r="L12" s="5" t="inlineStr">
        <is>
          <t>Mobile App</t>
        </is>
      </c>
      <c r="M12" s="9">
        <f>TEXT(B12,"mmm-yyyy")</f>
        <v/>
      </c>
      <c r="N12" s="9">
        <f>DATEDIF(B12,TODAY(),"d")</f>
        <v/>
      </c>
      <c r="O12" s="10">
        <f>NOW()</f>
        <v/>
      </c>
    </row>
    <row r="13">
      <c r="A13" s="5" t="inlineStr">
        <is>
          <t>T0012</t>
        </is>
      </c>
      <c r="B13" s="6" t="n">
        <v>45833</v>
      </c>
      <c r="C13" s="5" t="inlineStr">
        <is>
          <t>C018</t>
        </is>
      </c>
      <c r="D13" s="5" t="inlineStr">
        <is>
          <t>Navya Desai</t>
        </is>
      </c>
      <c r="E13" s="5" t="inlineStr">
        <is>
          <t>East</t>
        </is>
      </c>
      <c r="F13" s="5" t="inlineStr">
        <is>
          <t>Notebook Pack</t>
        </is>
      </c>
      <c r="G13" s="5" t="inlineStr">
        <is>
          <t>Stationery</t>
        </is>
      </c>
      <c r="H13" s="5" t="n">
        <v>1</v>
      </c>
      <c r="I13" s="7" t="n">
        <v>249</v>
      </c>
      <c r="J13" s="8">
        <f>H13*I13</f>
        <v/>
      </c>
      <c r="K13" s="5" t="inlineStr">
        <is>
          <t>Debit Card</t>
        </is>
      </c>
      <c r="L13" s="5" t="inlineStr">
        <is>
          <t>Mobile App</t>
        </is>
      </c>
      <c r="M13" s="9">
        <f>TEXT(B13,"mmm-yyyy")</f>
        <v/>
      </c>
      <c r="N13" s="9">
        <f>DATEDIF(B13,TODAY(),"d")</f>
        <v/>
      </c>
      <c r="O13" s="10">
        <f>NOW()</f>
        <v/>
      </c>
    </row>
    <row r="14">
      <c r="A14" s="5" t="inlineStr">
        <is>
          <t>T0013</t>
        </is>
      </c>
      <c r="B14" s="6" t="n">
        <v>46228</v>
      </c>
      <c r="C14" s="5" t="inlineStr">
        <is>
          <t>C008</t>
        </is>
      </c>
      <c r="D14" s="5" t="inlineStr">
        <is>
          <t>Myra Shah</t>
        </is>
      </c>
      <c r="E14" s="5" t="inlineStr">
        <is>
          <t>West</t>
        </is>
      </c>
      <c r="F14" s="5" t="inlineStr">
        <is>
          <t>Water Bottle</t>
        </is>
      </c>
      <c r="G14" s="5" t="inlineStr">
        <is>
          <t>Lifestyle</t>
        </is>
      </c>
      <c r="H14" s="5" t="n">
        <v>4</v>
      </c>
      <c r="I14" s="7" t="n">
        <v>599</v>
      </c>
      <c r="J14" s="8">
        <f>H14*I14</f>
        <v/>
      </c>
      <c r="K14" s="5" t="inlineStr">
        <is>
          <t>Credit Card</t>
        </is>
      </c>
      <c r="L14" s="5" t="inlineStr">
        <is>
          <t>Online</t>
        </is>
      </c>
      <c r="M14" s="9">
        <f>TEXT(B14,"mmm-yyyy")</f>
        <v/>
      </c>
      <c r="N14" s="9">
        <f>DATEDIF(B14,TODAY(),"d")</f>
        <v/>
      </c>
      <c r="O14" s="10">
        <f>NOW()</f>
        <v/>
      </c>
    </row>
    <row r="15">
      <c r="A15" s="5" t="inlineStr">
        <is>
          <t>T0014</t>
        </is>
      </c>
      <c r="B15" s="6" t="n">
        <v>45981</v>
      </c>
      <c r="C15" s="5" t="inlineStr">
        <is>
          <t>C013</t>
        </is>
      </c>
      <c r="D15" s="5" t="inlineStr">
        <is>
          <t>Rudra Desai</t>
        </is>
      </c>
      <c r="E15" s="5" t="inlineStr">
        <is>
          <t>Central</t>
        </is>
      </c>
      <c r="F15" s="5" t="inlineStr">
        <is>
          <t>Premium Pen</t>
        </is>
      </c>
      <c r="G15" s="5" t="inlineStr">
        <is>
          <t>Stationery</t>
        </is>
      </c>
      <c r="H15" s="5" t="n">
        <v>1</v>
      </c>
      <c r="I15" s="7" t="n">
        <v>399</v>
      </c>
      <c r="J15" s="8">
        <f>H15*I15</f>
        <v/>
      </c>
      <c r="K15" s="5" t="inlineStr">
        <is>
          <t>Debit Card</t>
        </is>
      </c>
      <c r="L15" s="5" t="inlineStr">
        <is>
          <t>Online</t>
        </is>
      </c>
      <c r="M15" s="9">
        <f>TEXT(B15,"mmm-yyyy")</f>
        <v/>
      </c>
      <c r="N15" s="9">
        <f>DATEDIF(B15,TODAY(),"d")</f>
        <v/>
      </c>
      <c r="O15" s="10">
        <f>NOW()</f>
        <v/>
      </c>
    </row>
    <row r="16">
      <c r="A16" s="5" t="inlineStr">
        <is>
          <t>T0015</t>
        </is>
      </c>
      <c r="B16" s="6" t="n">
        <v>46169</v>
      </c>
      <c r="C16" s="5" t="inlineStr">
        <is>
          <t>C013</t>
        </is>
      </c>
      <c r="D16" s="5" t="inlineStr">
        <is>
          <t>Rudra Desai</t>
        </is>
      </c>
      <c r="E16" s="5" t="inlineStr">
        <is>
          <t>North</t>
        </is>
      </c>
      <c r="F16" s="5" t="inlineStr">
        <is>
          <t>Desk Lamp</t>
        </is>
      </c>
      <c r="G16" s="5" t="inlineStr">
        <is>
          <t>Home</t>
        </is>
      </c>
      <c r="H16" s="5" t="n">
        <v>1</v>
      </c>
      <c r="I16" s="7" t="n">
        <v>1099</v>
      </c>
      <c r="J16" s="8">
        <f>H16*I16</f>
        <v/>
      </c>
      <c r="K16" s="5" t="inlineStr">
        <is>
          <t>Credit Card</t>
        </is>
      </c>
      <c r="L16" s="5" t="inlineStr">
        <is>
          <t>Mobile App</t>
        </is>
      </c>
      <c r="M16" s="9">
        <f>TEXT(B16,"mmm-yyyy")</f>
        <v/>
      </c>
      <c r="N16" s="9">
        <f>DATEDIF(B16,TODAY(),"d")</f>
        <v/>
      </c>
      <c r="O16" s="10">
        <f>NOW()</f>
        <v/>
      </c>
    </row>
    <row r="17">
      <c r="A17" s="5" t="inlineStr">
        <is>
          <t>T0016</t>
        </is>
      </c>
      <c r="B17" s="6" t="n">
        <v>46232</v>
      </c>
      <c r="C17" s="5" t="inlineStr">
        <is>
          <t>C018</t>
        </is>
      </c>
      <c r="D17" s="5" t="inlineStr">
        <is>
          <t>Navya Desai</t>
        </is>
      </c>
      <c r="E17" s="5" t="inlineStr">
        <is>
          <t>East</t>
        </is>
      </c>
      <c r="F17" s="5" t="inlineStr">
        <is>
          <t>Premium Pen</t>
        </is>
      </c>
      <c r="G17" s="5" t="inlineStr">
        <is>
          <t>Stationery</t>
        </is>
      </c>
      <c r="H17" s="5" t="n">
        <v>3</v>
      </c>
      <c r="I17" s="7" t="n">
        <v>399</v>
      </c>
      <c r="J17" s="8">
        <f>H17*I17</f>
        <v/>
      </c>
      <c r="K17" s="5" t="inlineStr">
        <is>
          <t>Net Banking</t>
        </is>
      </c>
      <c r="L17" s="5" t="inlineStr">
        <is>
          <t>Store</t>
        </is>
      </c>
      <c r="M17" s="9">
        <f>TEXT(B17,"mmm-yyyy")</f>
        <v/>
      </c>
      <c r="N17" s="9">
        <f>DATEDIF(B17,TODAY(),"d")</f>
        <v/>
      </c>
      <c r="O17" s="10">
        <f>NOW()</f>
        <v/>
      </c>
    </row>
    <row r="18">
      <c r="A18" s="5" t="inlineStr">
        <is>
          <t>T0017</t>
        </is>
      </c>
      <c r="B18" s="6" t="n">
        <v>46028</v>
      </c>
      <c r="C18" s="5" t="inlineStr">
        <is>
          <t>C008</t>
        </is>
      </c>
      <c r="D18" s="5" t="inlineStr">
        <is>
          <t>Myra Shah</t>
        </is>
      </c>
      <c r="E18" s="5" t="inlineStr">
        <is>
          <t>West</t>
        </is>
      </c>
      <c r="F18" s="5" t="inlineStr">
        <is>
          <t>USB-C Hub</t>
        </is>
      </c>
      <c r="G18" s="5" t="inlineStr">
        <is>
          <t>Electronics</t>
        </is>
      </c>
      <c r="H18" s="5" t="n">
        <v>2</v>
      </c>
      <c r="I18" s="7" t="n">
        <v>1899</v>
      </c>
      <c r="J18" s="8">
        <f>H18*I18</f>
        <v/>
      </c>
      <c r="K18" s="5" t="inlineStr">
        <is>
          <t>UPI</t>
        </is>
      </c>
      <c r="L18" s="5" t="inlineStr">
        <is>
          <t>Online</t>
        </is>
      </c>
      <c r="M18" s="9">
        <f>TEXT(B18,"mmm-yyyy")</f>
        <v/>
      </c>
      <c r="N18" s="9">
        <f>DATEDIF(B18,TODAY(),"d")</f>
        <v/>
      </c>
      <c r="O18" s="10">
        <f>NOW()</f>
        <v/>
      </c>
    </row>
    <row r="19">
      <c r="A19" s="5" t="inlineStr">
        <is>
          <t>T0018</t>
        </is>
      </c>
      <c r="B19" s="6" t="n">
        <v>45814</v>
      </c>
      <c r="C19" s="5" t="inlineStr">
        <is>
          <t>C021</t>
        </is>
      </c>
      <c r="D19" s="5" t="inlineStr">
        <is>
          <t>Manav Shah</t>
        </is>
      </c>
      <c r="E19" s="5" t="inlineStr">
        <is>
          <t>East</t>
        </is>
      </c>
      <c r="F19" s="5" t="inlineStr">
        <is>
          <t>USB-C Hub</t>
        </is>
      </c>
      <c r="G19" s="5" t="inlineStr">
        <is>
          <t>Electronics</t>
        </is>
      </c>
      <c r="H19" s="5" t="n">
        <v>3</v>
      </c>
      <c r="I19" s="7" t="n">
        <v>1899</v>
      </c>
      <c r="J19" s="8">
        <f>H19*I19</f>
        <v/>
      </c>
      <c r="K19" s="5" t="inlineStr">
        <is>
          <t>Net Banking</t>
        </is>
      </c>
      <c r="L19" s="5" t="inlineStr">
        <is>
          <t>Online</t>
        </is>
      </c>
      <c r="M19" s="9">
        <f>TEXT(B19,"mmm-yyyy")</f>
        <v/>
      </c>
      <c r="N19" s="9">
        <f>DATEDIF(B19,TODAY(),"d")</f>
        <v/>
      </c>
      <c r="O19" s="10">
        <f>NOW()</f>
        <v/>
      </c>
    </row>
    <row r="20">
      <c r="A20" s="5" t="inlineStr">
        <is>
          <t>T0019</t>
        </is>
      </c>
      <c r="B20" s="6" t="n">
        <v>46052</v>
      </c>
      <c r="C20" s="5" t="inlineStr">
        <is>
          <t>C013</t>
        </is>
      </c>
      <c r="D20" s="5" t="inlineStr">
        <is>
          <t>Rudra Desai</t>
        </is>
      </c>
      <c r="E20" s="5" t="inlineStr">
        <is>
          <t>Central</t>
        </is>
      </c>
      <c r="F20" s="5" t="inlineStr">
        <is>
          <t>Headphones</t>
        </is>
      </c>
      <c r="G20" s="5" t="inlineStr">
        <is>
          <t>Electronics</t>
        </is>
      </c>
      <c r="H20" s="5" t="n">
        <v>6</v>
      </c>
      <c r="I20" s="7" t="n">
        <v>2499</v>
      </c>
      <c r="J20" s="8">
        <f>H20*I20</f>
        <v/>
      </c>
      <c r="K20" s="5" t="inlineStr">
        <is>
          <t>Debit Card</t>
        </is>
      </c>
      <c r="L20" s="5" t="inlineStr">
        <is>
          <t>Mobile App</t>
        </is>
      </c>
      <c r="M20" s="9">
        <f>TEXT(B20,"mmm-yyyy")</f>
        <v/>
      </c>
      <c r="N20" s="9">
        <f>DATEDIF(B20,TODAY(),"d")</f>
        <v/>
      </c>
      <c r="O20" s="10">
        <f>NOW()</f>
        <v/>
      </c>
    </row>
    <row r="21">
      <c r="A21" s="5" t="inlineStr">
        <is>
          <t>T0020</t>
        </is>
      </c>
      <c r="B21" s="6" t="n">
        <v>45669</v>
      </c>
      <c r="C21" s="5" t="inlineStr">
        <is>
          <t>C022</t>
        </is>
      </c>
      <c r="D21" s="5" t="inlineStr">
        <is>
          <t>Pari Patel</t>
        </is>
      </c>
      <c r="E21" s="5" t="inlineStr">
        <is>
          <t>Central</t>
        </is>
      </c>
      <c r="F21" s="5" t="inlineStr">
        <is>
          <t>Keyboard</t>
        </is>
      </c>
      <c r="G21" s="5" t="inlineStr">
        <is>
          <t>Electronics</t>
        </is>
      </c>
      <c r="H21" s="5" t="n">
        <v>3</v>
      </c>
      <c r="I21" s="7" t="n">
        <v>1299</v>
      </c>
      <c r="J21" s="8">
        <f>H21*I21</f>
        <v/>
      </c>
      <c r="K21" s="5" t="inlineStr">
        <is>
          <t>Debit Card</t>
        </is>
      </c>
      <c r="L21" s="5" t="inlineStr">
        <is>
          <t>Mobile App</t>
        </is>
      </c>
      <c r="M21" s="9">
        <f>TEXT(B21,"mmm-yyyy")</f>
        <v/>
      </c>
      <c r="N21" s="9">
        <f>DATEDIF(B21,TODAY(),"d")</f>
        <v/>
      </c>
      <c r="O21" s="10">
        <f>NOW()</f>
        <v/>
      </c>
    </row>
    <row r="22">
      <c r="A22" s="5" t="inlineStr">
        <is>
          <t>T0021</t>
        </is>
      </c>
      <c r="B22" s="6" t="n">
        <v>46006</v>
      </c>
      <c r="C22" s="5" t="inlineStr">
        <is>
          <t>C004</t>
        </is>
      </c>
      <c r="D22" s="5" t="inlineStr">
        <is>
          <t>Anaya Desai</t>
        </is>
      </c>
      <c r="E22" s="5" t="inlineStr">
        <is>
          <t>East</t>
        </is>
      </c>
      <c r="F22" s="5" t="inlineStr">
        <is>
          <t>Premium Pen</t>
        </is>
      </c>
      <c r="G22" s="5" t="inlineStr">
        <is>
          <t>Stationery</t>
        </is>
      </c>
      <c r="H22" s="5" t="n">
        <v>2</v>
      </c>
      <c r="I22" s="7" t="n">
        <v>399</v>
      </c>
      <c r="J22" s="8">
        <f>H22*I22</f>
        <v/>
      </c>
      <c r="K22" s="5" t="inlineStr">
        <is>
          <t>UPI</t>
        </is>
      </c>
      <c r="L22" s="5" t="inlineStr">
        <is>
          <t>Mobile App</t>
        </is>
      </c>
      <c r="M22" s="9">
        <f>TEXT(B22,"mmm-yyyy")</f>
        <v/>
      </c>
      <c r="N22" s="9">
        <f>DATEDIF(B22,TODAY(),"d")</f>
        <v/>
      </c>
      <c r="O22" s="10">
        <f>NOW()</f>
        <v/>
      </c>
    </row>
    <row r="23">
      <c r="A23" s="5" t="inlineStr">
        <is>
          <t>T0022</t>
        </is>
      </c>
      <c r="B23" s="6" t="n">
        <v>45927</v>
      </c>
      <c r="C23" s="5" t="inlineStr">
        <is>
          <t>C017</t>
        </is>
      </c>
      <c r="D23" s="5" t="inlineStr">
        <is>
          <t>Kabir Mehta</t>
        </is>
      </c>
      <c r="E23" s="5" t="inlineStr">
        <is>
          <t>West</t>
        </is>
      </c>
      <c r="F23" s="5" t="inlineStr">
        <is>
          <t>USB-C Hub</t>
        </is>
      </c>
      <c r="G23" s="5" t="inlineStr">
        <is>
          <t>Electronics</t>
        </is>
      </c>
      <c r="H23" s="5" t="n">
        <v>2</v>
      </c>
      <c r="I23" s="7" t="n">
        <v>1899</v>
      </c>
      <c r="J23" s="8">
        <f>H23*I23</f>
        <v/>
      </c>
      <c r="K23" s="5" t="inlineStr">
        <is>
          <t>Debit Card</t>
        </is>
      </c>
      <c r="L23" s="5" t="inlineStr">
        <is>
          <t>Mobile App</t>
        </is>
      </c>
      <c r="M23" s="9">
        <f>TEXT(B23,"mmm-yyyy")</f>
        <v/>
      </c>
      <c r="N23" s="9">
        <f>DATEDIF(B23,TODAY(),"d")</f>
        <v/>
      </c>
      <c r="O23" s="10">
        <f>NOW()</f>
        <v/>
      </c>
    </row>
    <row r="24">
      <c r="A24" s="5" t="inlineStr">
        <is>
          <t>T0023</t>
        </is>
      </c>
      <c r="B24" s="6" t="n">
        <v>46177</v>
      </c>
      <c r="C24" s="5" t="inlineStr">
        <is>
          <t>C020</t>
        </is>
      </c>
      <c r="D24" s="5" t="inlineStr">
        <is>
          <t>Riya Modi</t>
        </is>
      </c>
      <c r="E24" s="5" t="inlineStr">
        <is>
          <t>North</t>
        </is>
      </c>
      <c r="F24" s="5" t="inlineStr">
        <is>
          <t>Notebook Pack</t>
        </is>
      </c>
      <c r="G24" s="5" t="inlineStr">
        <is>
          <t>Stationery</t>
        </is>
      </c>
      <c r="H24" s="5" t="n">
        <v>1</v>
      </c>
      <c r="I24" s="7" t="n">
        <v>249</v>
      </c>
      <c r="J24" s="8">
        <f>H24*I24</f>
        <v/>
      </c>
      <c r="K24" s="5" t="inlineStr">
        <is>
          <t>Net Banking</t>
        </is>
      </c>
      <c r="L24" s="5" t="inlineStr">
        <is>
          <t>Mobile App</t>
        </is>
      </c>
      <c r="M24" s="9">
        <f>TEXT(B24,"mmm-yyyy")</f>
        <v/>
      </c>
      <c r="N24" s="9">
        <f>DATEDIF(B24,TODAY(),"d")</f>
        <v/>
      </c>
      <c r="O24" s="10">
        <f>NOW()</f>
        <v/>
      </c>
    </row>
    <row r="25">
      <c r="A25" s="5" t="inlineStr">
        <is>
          <t>T0024</t>
        </is>
      </c>
      <c r="B25" s="6" t="n">
        <v>45658</v>
      </c>
      <c r="C25" s="5" t="inlineStr">
        <is>
          <t>C020</t>
        </is>
      </c>
      <c r="D25" s="5" t="inlineStr">
        <is>
          <t>Riya Modi</t>
        </is>
      </c>
      <c r="E25" s="5" t="inlineStr">
        <is>
          <t>West</t>
        </is>
      </c>
      <c r="F25" s="5" t="inlineStr">
        <is>
          <t>Water Bottle</t>
        </is>
      </c>
      <c r="G25" s="5" t="inlineStr">
        <is>
          <t>Lifestyle</t>
        </is>
      </c>
      <c r="H25" s="5" t="n">
        <v>2</v>
      </c>
      <c r="I25" s="7" t="n">
        <v>599</v>
      </c>
      <c r="J25" s="8">
        <f>H25*I25</f>
        <v/>
      </c>
      <c r="K25" s="5" t="inlineStr">
        <is>
          <t>Debit Card</t>
        </is>
      </c>
      <c r="L25" s="5" t="inlineStr">
        <is>
          <t>Store</t>
        </is>
      </c>
      <c r="M25" s="9">
        <f>TEXT(B25,"mmm-yyyy")</f>
        <v/>
      </c>
      <c r="N25" s="9">
        <f>DATEDIF(B25,TODAY(),"d")</f>
        <v/>
      </c>
      <c r="O25" s="10">
        <f>NOW()</f>
        <v/>
      </c>
    </row>
    <row r="26">
      <c r="A26" s="5" t="inlineStr">
        <is>
          <t>T0025</t>
        </is>
      </c>
      <c r="B26" s="6" t="n">
        <v>45903</v>
      </c>
      <c r="C26" s="5" t="inlineStr">
        <is>
          <t>C002</t>
        </is>
      </c>
      <c r="D26" s="5" t="inlineStr">
        <is>
          <t>Diya Shah</t>
        </is>
      </c>
      <c r="E26" s="5" t="inlineStr">
        <is>
          <t>West</t>
        </is>
      </c>
      <c r="F26" s="5" t="inlineStr">
        <is>
          <t>Notebook Pack</t>
        </is>
      </c>
      <c r="G26" s="5" t="inlineStr">
        <is>
          <t>Stationery</t>
        </is>
      </c>
      <c r="H26" s="5" t="n">
        <v>4</v>
      </c>
      <c r="I26" s="7" t="n">
        <v>249</v>
      </c>
      <c r="J26" s="8">
        <f>H26*I26</f>
        <v/>
      </c>
      <c r="K26" s="5" t="inlineStr">
        <is>
          <t>UPI</t>
        </is>
      </c>
      <c r="L26" s="5" t="inlineStr">
        <is>
          <t>Mobile App</t>
        </is>
      </c>
      <c r="M26" s="9">
        <f>TEXT(B26,"mmm-yyyy")</f>
        <v/>
      </c>
      <c r="N26" s="9">
        <f>DATEDIF(B26,TODAY(),"d")</f>
        <v/>
      </c>
      <c r="O26" s="10">
        <f>NOW()</f>
        <v/>
      </c>
    </row>
    <row r="27">
      <c r="A27" s="5" t="inlineStr">
        <is>
          <t>T0026</t>
        </is>
      </c>
      <c r="B27" s="6" t="n">
        <v>46155</v>
      </c>
      <c r="C27" s="5" t="inlineStr">
        <is>
          <t>C027</t>
        </is>
      </c>
      <c r="D27" s="5" t="inlineStr">
        <is>
          <t>Ayaan Desai</t>
        </is>
      </c>
      <c r="E27" s="5" t="inlineStr">
        <is>
          <t>Central</t>
        </is>
      </c>
      <c r="F27" s="5" t="inlineStr">
        <is>
          <t>Keyboard</t>
        </is>
      </c>
      <c r="G27" s="5" t="inlineStr">
        <is>
          <t>Electronics</t>
        </is>
      </c>
      <c r="H27" s="5" t="n">
        <v>6</v>
      </c>
      <c r="I27" s="7" t="n">
        <v>1299</v>
      </c>
      <c r="J27" s="8">
        <f>H27*I27</f>
        <v/>
      </c>
      <c r="K27" s="5" t="inlineStr">
        <is>
          <t>Credit Card</t>
        </is>
      </c>
      <c r="L27" s="5" t="inlineStr">
        <is>
          <t>Online</t>
        </is>
      </c>
      <c r="M27" s="9">
        <f>TEXT(B27,"mmm-yyyy")</f>
        <v/>
      </c>
      <c r="N27" s="9">
        <f>DATEDIF(B27,TODAY(),"d")</f>
        <v/>
      </c>
      <c r="O27" s="10">
        <f>NOW()</f>
        <v/>
      </c>
    </row>
    <row r="28">
      <c r="A28" s="5" t="inlineStr">
        <is>
          <t>T0027</t>
        </is>
      </c>
      <c r="B28" s="6" t="n">
        <v>46144</v>
      </c>
      <c r="C28" s="5" t="inlineStr">
        <is>
          <t>C018</t>
        </is>
      </c>
      <c r="D28" s="5" t="inlineStr">
        <is>
          <t>Navya Desai</t>
        </is>
      </c>
      <c r="E28" s="5" t="inlineStr">
        <is>
          <t>Central</t>
        </is>
      </c>
      <c r="F28" s="5" t="inlineStr">
        <is>
          <t>USB-C Hub</t>
        </is>
      </c>
      <c r="G28" s="5" t="inlineStr">
        <is>
          <t>Electronics</t>
        </is>
      </c>
      <c r="H28" s="5" t="n">
        <v>1</v>
      </c>
      <c r="I28" s="7" t="n">
        <v>1899</v>
      </c>
      <c r="J28" s="8">
        <f>H28*I28</f>
        <v/>
      </c>
      <c r="K28" s="5" t="inlineStr">
        <is>
          <t>Cash</t>
        </is>
      </c>
      <c r="L28" s="5" t="inlineStr">
        <is>
          <t>Online</t>
        </is>
      </c>
      <c r="M28" s="9">
        <f>TEXT(B28,"mmm-yyyy")</f>
        <v/>
      </c>
      <c r="N28" s="9">
        <f>DATEDIF(B28,TODAY(),"d")</f>
        <v/>
      </c>
      <c r="O28" s="10">
        <f>NOW()</f>
        <v/>
      </c>
    </row>
    <row r="29">
      <c r="A29" s="5" t="inlineStr">
        <is>
          <t>T0028</t>
        </is>
      </c>
      <c r="B29" s="6" t="n">
        <v>46210</v>
      </c>
      <c r="C29" s="5" t="inlineStr">
        <is>
          <t>C025</t>
        </is>
      </c>
      <c r="D29" s="5" t="inlineStr">
        <is>
          <t>Neil Trivedi</t>
        </is>
      </c>
      <c r="E29" s="5" t="inlineStr">
        <is>
          <t>East</t>
        </is>
      </c>
      <c r="F29" s="5" t="inlineStr">
        <is>
          <t>Notebook Pack</t>
        </is>
      </c>
      <c r="G29" s="5" t="inlineStr">
        <is>
          <t>Stationery</t>
        </is>
      </c>
      <c r="H29" s="5" t="n">
        <v>3</v>
      </c>
      <c r="I29" s="7" t="n">
        <v>249</v>
      </c>
      <c r="J29" s="8">
        <f>H29*I29</f>
        <v/>
      </c>
      <c r="K29" s="5" t="inlineStr">
        <is>
          <t>Debit Card</t>
        </is>
      </c>
      <c r="L29" s="5" t="inlineStr">
        <is>
          <t>Store</t>
        </is>
      </c>
      <c r="M29" s="9">
        <f>TEXT(B29,"mmm-yyyy")</f>
        <v/>
      </c>
      <c r="N29" s="9">
        <f>DATEDIF(B29,TODAY(),"d")</f>
        <v/>
      </c>
      <c r="O29" s="10">
        <f>NOW()</f>
        <v/>
      </c>
    </row>
    <row r="30">
      <c r="A30" s="5" t="inlineStr">
        <is>
          <t>T0029</t>
        </is>
      </c>
      <c r="B30" s="6" t="n">
        <v>46187</v>
      </c>
      <c r="C30" s="5" t="inlineStr">
        <is>
          <t>C015</t>
        </is>
      </c>
      <c r="D30" s="5" t="inlineStr">
        <is>
          <t>Dev Shah</t>
        </is>
      </c>
      <c r="E30" s="5" t="inlineStr">
        <is>
          <t>West</t>
        </is>
      </c>
      <c r="F30" s="5" t="inlineStr">
        <is>
          <t>Keyboard</t>
        </is>
      </c>
      <c r="G30" s="5" t="inlineStr">
        <is>
          <t>Electronics</t>
        </is>
      </c>
      <c r="H30" s="5" t="n">
        <v>1</v>
      </c>
      <c r="I30" s="7" t="n">
        <v>1299</v>
      </c>
      <c r="J30" s="8">
        <f>H30*I30</f>
        <v/>
      </c>
      <c r="K30" s="5" t="inlineStr">
        <is>
          <t>Debit Card</t>
        </is>
      </c>
      <c r="L30" s="5" t="inlineStr">
        <is>
          <t>Online</t>
        </is>
      </c>
      <c r="M30" s="9">
        <f>TEXT(B30,"mmm-yyyy")</f>
        <v/>
      </c>
      <c r="N30" s="9">
        <f>DATEDIF(B30,TODAY(),"d")</f>
        <v/>
      </c>
      <c r="O30" s="10">
        <f>NOW()</f>
        <v/>
      </c>
    </row>
    <row r="31">
      <c r="A31" s="5" t="inlineStr">
        <is>
          <t>T0030</t>
        </is>
      </c>
      <c r="B31" s="6" t="n">
        <v>46260</v>
      </c>
      <c r="C31" s="5" t="inlineStr">
        <is>
          <t>C018</t>
        </is>
      </c>
      <c r="D31" s="5" t="inlineStr">
        <is>
          <t>Navya Desai</t>
        </is>
      </c>
      <c r="E31" s="5" t="inlineStr">
        <is>
          <t>West</t>
        </is>
      </c>
      <c r="F31" s="5" t="inlineStr">
        <is>
          <t>Notebook Pack</t>
        </is>
      </c>
      <c r="G31" s="5" t="inlineStr">
        <is>
          <t>Stationery</t>
        </is>
      </c>
      <c r="H31" s="5" t="n">
        <v>2</v>
      </c>
      <c r="I31" s="7" t="n">
        <v>249</v>
      </c>
      <c r="J31" s="8">
        <f>H31*I31</f>
        <v/>
      </c>
      <c r="K31" s="5" t="inlineStr">
        <is>
          <t>UPI</t>
        </is>
      </c>
      <c r="L31" s="5" t="inlineStr">
        <is>
          <t>Mobile App</t>
        </is>
      </c>
      <c r="M31" s="9">
        <f>TEXT(B31,"mmm-yyyy")</f>
        <v/>
      </c>
      <c r="N31" s="9">
        <f>DATEDIF(B31,TODAY(),"d")</f>
        <v/>
      </c>
      <c r="O31" s="10">
        <f>NOW()</f>
        <v/>
      </c>
    </row>
    <row r="32">
      <c r="A32" s="5" t="inlineStr">
        <is>
          <t>T0031</t>
        </is>
      </c>
      <c r="B32" s="6" t="n">
        <v>46304</v>
      </c>
      <c r="C32" s="5" t="inlineStr">
        <is>
          <t>C002</t>
        </is>
      </c>
      <c r="D32" s="5" t="inlineStr">
        <is>
          <t>Diya Shah</t>
        </is>
      </c>
      <c r="E32" s="5" t="inlineStr">
        <is>
          <t>West</t>
        </is>
      </c>
      <c r="F32" s="5" t="inlineStr">
        <is>
          <t>Notebook Pack</t>
        </is>
      </c>
      <c r="G32" s="5" t="inlineStr">
        <is>
          <t>Stationery</t>
        </is>
      </c>
      <c r="H32" s="5" t="n">
        <v>1</v>
      </c>
      <c r="I32" s="7" t="n">
        <v>249</v>
      </c>
      <c r="J32" s="8">
        <f>H32*I32</f>
        <v/>
      </c>
      <c r="K32" s="5" t="inlineStr">
        <is>
          <t>Debit Card</t>
        </is>
      </c>
      <c r="L32" s="5" t="inlineStr">
        <is>
          <t>Online</t>
        </is>
      </c>
      <c r="M32" s="9">
        <f>TEXT(B32,"mmm-yyyy")</f>
        <v/>
      </c>
      <c r="N32" s="9">
        <f>DATEDIF(B32,TODAY(),"d")</f>
        <v/>
      </c>
      <c r="O32" s="10">
        <f>NOW()</f>
        <v/>
      </c>
    </row>
    <row r="33">
      <c r="A33" s="5" t="inlineStr">
        <is>
          <t>T0032</t>
        </is>
      </c>
      <c r="B33" s="6" t="n">
        <v>46184</v>
      </c>
      <c r="C33" s="5" t="inlineStr">
        <is>
          <t>C008</t>
        </is>
      </c>
      <c r="D33" s="5" t="inlineStr">
        <is>
          <t>Myra Shah</t>
        </is>
      </c>
      <c r="E33" s="5" t="inlineStr">
        <is>
          <t>North</t>
        </is>
      </c>
      <c r="F33" s="5" t="inlineStr">
        <is>
          <t>Premium Pen</t>
        </is>
      </c>
      <c r="G33" s="5" t="inlineStr">
        <is>
          <t>Stationery</t>
        </is>
      </c>
      <c r="H33" s="5" t="n">
        <v>3</v>
      </c>
      <c r="I33" s="7" t="n">
        <v>399</v>
      </c>
      <c r="J33" s="8">
        <f>H33*I33</f>
        <v/>
      </c>
      <c r="K33" s="5" t="inlineStr">
        <is>
          <t>Net Banking</t>
        </is>
      </c>
      <c r="L33" s="5" t="inlineStr">
        <is>
          <t>Online</t>
        </is>
      </c>
      <c r="M33" s="9">
        <f>TEXT(B33,"mmm-yyyy")</f>
        <v/>
      </c>
      <c r="N33" s="9">
        <f>DATEDIF(B33,TODAY(),"d")</f>
        <v/>
      </c>
      <c r="O33" s="10">
        <f>NOW()</f>
        <v/>
      </c>
    </row>
    <row r="34">
      <c r="A34" s="5" t="inlineStr">
        <is>
          <t>T0033</t>
        </is>
      </c>
      <c r="B34" s="6" t="n">
        <v>46242</v>
      </c>
      <c r="C34" s="5" t="inlineStr">
        <is>
          <t>C019</t>
        </is>
      </c>
      <c r="D34" s="5" t="inlineStr">
        <is>
          <t>Dhruv Joshi</t>
        </is>
      </c>
      <c r="E34" s="5" t="inlineStr">
        <is>
          <t>East</t>
        </is>
      </c>
      <c r="F34" s="5" t="inlineStr">
        <is>
          <t>Desk Lamp</t>
        </is>
      </c>
      <c r="G34" s="5" t="inlineStr">
        <is>
          <t>Home</t>
        </is>
      </c>
      <c r="H34" s="5" t="n">
        <v>1</v>
      </c>
      <c r="I34" s="7" t="n">
        <v>1099</v>
      </c>
      <c r="J34" s="8">
        <f>H34*I34</f>
        <v/>
      </c>
      <c r="K34" s="5" t="inlineStr">
        <is>
          <t>Cash</t>
        </is>
      </c>
      <c r="L34" s="5" t="inlineStr">
        <is>
          <t>Online</t>
        </is>
      </c>
      <c r="M34" s="9">
        <f>TEXT(B34,"mmm-yyyy")</f>
        <v/>
      </c>
      <c r="N34" s="9">
        <f>DATEDIF(B34,TODAY(),"d")</f>
        <v/>
      </c>
      <c r="O34" s="10">
        <f>NOW()</f>
        <v/>
      </c>
    </row>
    <row r="35">
      <c r="A35" s="5" t="inlineStr">
        <is>
          <t>T0034</t>
        </is>
      </c>
      <c r="B35" s="6" t="n">
        <v>45754</v>
      </c>
      <c r="C35" s="5" t="inlineStr">
        <is>
          <t>C004</t>
        </is>
      </c>
      <c r="D35" s="5" t="inlineStr">
        <is>
          <t>Anaya Desai</t>
        </is>
      </c>
      <c r="E35" s="5" t="inlineStr">
        <is>
          <t>East</t>
        </is>
      </c>
      <c r="F35" s="5" t="inlineStr">
        <is>
          <t>Backpack</t>
        </is>
      </c>
      <c r="G35" s="5" t="inlineStr">
        <is>
          <t>Lifestyle</t>
        </is>
      </c>
      <c r="H35" s="5" t="n">
        <v>2</v>
      </c>
      <c r="I35" s="7" t="n">
        <v>1499</v>
      </c>
      <c r="J35" s="8">
        <f>H35*I35</f>
        <v/>
      </c>
      <c r="K35" s="5" t="inlineStr">
        <is>
          <t>Cash</t>
        </is>
      </c>
      <c r="L35" s="5" t="inlineStr">
        <is>
          <t>Mobile App</t>
        </is>
      </c>
      <c r="M35" s="9">
        <f>TEXT(B35,"mmm-yyyy")</f>
        <v/>
      </c>
      <c r="N35" s="9">
        <f>DATEDIF(B35,TODAY(),"d")</f>
        <v/>
      </c>
      <c r="O35" s="10">
        <f>NOW()</f>
        <v/>
      </c>
    </row>
    <row r="36">
      <c r="A36" s="5" t="inlineStr">
        <is>
          <t>T0035</t>
        </is>
      </c>
      <c r="B36" s="6" t="n">
        <v>45713</v>
      </c>
      <c r="C36" s="5" t="inlineStr">
        <is>
          <t>C022</t>
        </is>
      </c>
      <c r="D36" s="5" t="inlineStr">
        <is>
          <t>Pari Patel</t>
        </is>
      </c>
      <c r="E36" s="5" t="inlineStr">
        <is>
          <t>South</t>
        </is>
      </c>
      <c r="F36" s="5" t="inlineStr">
        <is>
          <t>Keyboard</t>
        </is>
      </c>
      <c r="G36" s="5" t="inlineStr">
        <is>
          <t>Electronics</t>
        </is>
      </c>
      <c r="H36" s="5" t="n">
        <v>1</v>
      </c>
      <c r="I36" s="7" t="n">
        <v>1299</v>
      </c>
      <c r="J36" s="8">
        <f>H36*I36</f>
        <v/>
      </c>
      <c r="K36" s="5" t="inlineStr">
        <is>
          <t>UPI</t>
        </is>
      </c>
      <c r="L36" s="5" t="inlineStr">
        <is>
          <t>Online</t>
        </is>
      </c>
      <c r="M36" s="9">
        <f>TEXT(B36,"mmm-yyyy")</f>
        <v/>
      </c>
      <c r="N36" s="9">
        <f>DATEDIF(B36,TODAY(),"d")</f>
        <v/>
      </c>
      <c r="O36" s="10">
        <f>NOW()</f>
        <v/>
      </c>
    </row>
    <row r="37">
      <c r="A37" s="5" t="inlineStr">
        <is>
          <t>T0036</t>
        </is>
      </c>
      <c r="B37" s="6" t="n">
        <v>45854</v>
      </c>
      <c r="C37" s="5" t="inlineStr">
        <is>
          <t>C007</t>
        </is>
      </c>
      <c r="D37" s="5" t="inlineStr">
        <is>
          <t>Reyansh Modi</t>
        </is>
      </c>
      <c r="E37" s="5" t="inlineStr">
        <is>
          <t>East</t>
        </is>
      </c>
      <c r="F37" s="5" t="inlineStr">
        <is>
          <t>Coffee Mug</t>
        </is>
      </c>
      <c r="G37" s="5" t="inlineStr">
        <is>
          <t>Home</t>
        </is>
      </c>
      <c r="H37" s="5" t="n">
        <v>2</v>
      </c>
      <c r="I37" s="7" t="n">
        <v>349</v>
      </c>
      <c r="J37" s="8">
        <f>H37*I37</f>
        <v/>
      </c>
      <c r="K37" s="5" t="inlineStr">
        <is>
          <t>Credit Card</t>
        </is>
      </c>
      <c r="L37" s="5" t="inlineStr">
        <is>
          <t>Store</t>
        </is>
      </c>
      <c r="M37" s="9">
        <f>TEXT(B37,"mmm-yyyy")</f>
        <v/>
      </c>
      <c r="N37" s="9">
        <f>DATEDIF(B37,TODAY(),"d")</f>
        <v/>
      </c>
      <c r="O37" s="10">
        <f>NOW()</f>
        <v/>
      </c>
    </row>
    <row r="38">
      <c r="A38" s="5" t="inlineStr">
        <is>
          <t>T0037</t>
        </is>
      </c>
      <c r="B38" s="6" t="n">
        <v>46131</v>
      </c>
      <c r="C38" s="5" t="inlineStr">
        <is>
          <t>C008</t>
        </is>
      </c>
      <c r="D38" s="5" t="inlineStr">
        <is>
          <t>Myra Shah</t>
        </is>
      </c>
      <c r="E38" s="5" t="inlineStr">
        <is>
          <t>Central</t>
        </is>
      </c>
      <c r="F38" s="5" t="inlineStr">
        <is>
          <t>Keyboard</t>
        </is>
      </c>
      <c r="G38" s="5" t="inlineStr">
        <is>
          <t>Electronics</t>
        </is>
      </c>
      <c r="H38" s="5" t="n">
        <v>2</v>
      </c>
      <c r="I38" s="7" t="n">
        <v>1299</v>
      </c>
      <c r="J38" s="8">
        <f>H38*I38</f>
        <v/>
      </c>
      <c r="K38" s="5" t="inlineStr">
        <is>
          <t>UPI</t>
        </is>
      </c>
      <c r="L38" s="5" t="inlineStr">
        <is>
          <t>Online</t>
        </is>
      </c>
      <c r="M38" s="9">
        <f>TEXT(B38,"mmm-yyyy")</f>
        <v/>
      </c>
      <c r="N38" s="9">
        <f>DATEDIF(B38,TODAY(),"d")</f>
        <v/>
      </c>
      <c r="O38" s="10">
        <f>NOW()</f>
        <v/>
      </c>
    </row>
    <row r="39">
      <c r="A39" s="5" t="inlineStr">
        <is>
          <t>T0038</t>
        </is>
      </c>
      <c r="B39" s="6" t="n">
        <v>46211</v>
      </c>
      <c r="C39" s="5" t="inlineStr">
        <is>
          <t>C027</t>
        </is>
      </c>
      <c r="D39" s="5" t="inlineStr">
        <is>
          <t>Ayaan Desai</t>
        </is>
      </c>
      <c r="E39" s="5" t="inlineStr">
        <is>
          <t>North</t>
        </is>
      </c>
      <c r="F39" s="5" t="inlineStr">
        <is>
          <t>Wireless Mouse</t>
        </is>
      </c>
      <c r="G39" s="5" t="inlineStr">
        <is>
          <t>Electronics</t>
        </is>
      </c>
      <c r="H39" s="5" t="n">
        <v>5</v>
      </c>
      <c r="I39" s="7" t="n">
        <v>799</v>
      </c>
      <c r="J39" s="8">
        <f>H39*I39</f>
        <v/>
      </c>
      <c r="K39" s="5" t="inlineStr">
        <is>
          <t>Credit Card</t>
        </is>
      </c>
      <c r="L39" s="5" t="inlineStr">
        <is>
          <t>Store</t>
        </is>
      </c>
      <c r="M39" s="9">
        <f>TEXT(B39,"mmm-yyyy")</f>
        <v/>
      </c>
      <c r="N39" s="9">
        <f>DATEDIF(B39,TODAY(),"d")</f>
        <v/>
      </c>
      <c r="O39" s="10">
        <f>NOW()</f>
        <v/>
      </c>
    </row>
    <row r="40">
      <c r="A40" s="5" t="inlineStr">
        <is>
          <t>T0039</t>
        </is>
      </c>
      <c r="B40" s="6" t="n">
        <v>46155</v>
      </c>
      <c r="C40" s="5" t="inlineStr">
        <is>
          <t>C016</t>
        </is>
      </c>
      <c r="D40" s="5" t="inlineStr">
        <is>
          <t>Avni Patel</t>
        </is>
      </c>
      <c r="E40" s="5" t="inlineStr">
        <is>
          <t>West</t>
        </is>
      </c>
      <c r="F40" s="5" t="inlineStr">
        <is>
          <t>Notebook Pack</t>
        </is>
      </c>
      <c r="G40" s="5" t="inlineStr">
        <is>
          <t>Stationery</t>
        </is>
      </c>
      <c r="H40" s="5" t="n">
        <v>4</v>
      </c>
      <c r="I40" s="7" t="n">
        <v>249</v>
      </c>
      <c r="J40" s="8">
        <f>H40*I40</f>
        <v/>
      </c>
      <c r="K40" s="5" t="inlineStr">
        <is>
          <t>Credit Card</t>
        </is>
      </c>
      <c r="L40" s="5" t="inlineStr">
        <is>
          <t>Store</t>
        </is>
      </c>
      <c r="M40" s="9">
        <f>TEXT(B40,"mmm-yyyy")</f>
        <v/>
      </c>
      <c r="N40" s="9">
        <f>DATEDIF(B40,TODAY(),"d")</f>
        <v/>
      </c>
      <c r="O40" s="10">
        <f>NOW()</f>
        <v/>
      </c>
    </row>
    <row r="41">
      <c r="A41" s="5" t="inlineStr">
        <is>
          <t>T0040</t>
        </is>
      </c>
      <c r="B41" s="6" t="n">
        <v>45660</v>
      </c>
      <c r="C41" s="5" t="inlineStr">
        <is>
          <t>C013</t>
        </is>
      </c>
      <c r="D41" s="5" t="inlineStr">
        <is>
          <t>Rudra Desai</t>
        </is>
      </c>
      <c r="E41" s="5" t="inlineStr">
        <is>
          <t>East</t>
        </is>
      </c>
      <c r="F41" s="5" t="inlineStr">
        <is>
          <t>Premium Pen</t>
        </is>
      </c>
      <c r="G41" s="5" t="inlineStr">
        <is>
          <t>Stationery</t>
        </is>
      </c>
      <c r="H41" s="5" t="n">
        <v>5</v>
      </c>
      <c r="I41" s="7" t="n">
        <v>399</v>
      </c>
      <c r="J41" s="8">
        <f>H41*I41</f>
        <v/>
      </c>
      <c r="K41" s="5" t="inlineStr">
        <is>
          <t>Debit Card</t>
        </is>
      </c>
      <c r="L41" s="5" t="inlineStr">
        <is>
          <t>Store</t>
        </is>
      </c>
      <c r="M41" s="9">
        <f>TEXT(B41,"mmm-yyyy")</f>
        <v/>
      </c>
      <c r="N41" s="9">
        <f>DATEDIF(B41,TODAY(),"d")</f>
        <v/>
      </c>
      <c r="O41" s="10">
        <f>NOW()</f>
        <v/>
      </c>
    </row>
    <row r="42">
      <c r="A42" s="5" t="inlineStr">
        <is>
          <t>T0041</t>
        </is>
      </c>
      <c r="B42" s="6" t="n">
        <v>46227</v>
      </c>
      <c r="C42" s="5" t="inlineStr">
        <is>
          <t>C022</t>
        </is>
      </c>
      <c r="D42" s="5" t="inlineStr">
        <is>
          <t>Pari Patel</t>
        </is>
      </c>
      <c r="E42" s="5" t="inlineStr">
        <is>
          <t>South</t>
        </is>
      </c>
      <c r="F42" s="5" t="inlineStr">
        <is>
          <t>Desk Lamp</t>
        </is>
      </c>
      <c r="G42" s="5" t="inlineStr">
        <is>
          <t>Home</t>
        </is>
      </c>
      <c r="H42" s="5" t="n">
        <v>1</v>
      </c>
      <c r="I42" s="7" t="n">
        <v>1099</v>
      </c>
      <c r="J42" s="8">
        <f>H42*I42</f>
        <v/>
      </c>
      <c r="K42" s="5" t="inlineStr">
        <is>
          <t>Credit Card</t>
        </is>
      </c>
      <c r="L42" s="5" t="inlineStr">
        <is>
          <t>Online</t>
        </is>
      </c>
      <c r="M42" s="9">
        <f>TEXT(B42,"mmm-yyyy")</f>
        <v/>
      </c>
      <c r="N42" s="9">
        <f>DATEDIF(B42,TODAY(),"d")</f>
        <v/>
      </c>
      <c r="O42" s="10">
        <f>NOW()</f>
        <v/>
      </c>
    </row>
    <row r="43">
      <c r="A43" s="5" t="inlineStr">
        <is>
          <t>T0042</t>
        </is>
      </c>
      <c r="B43" s="6" t="n">
        <v>46251</v>
      </c>
      <c r="C43" s="5" t="inlineStr">
        <is>
          <t>C024</t>
        </is>
      </c>
      <c r="D43" s="5" t="inlineStr">
        <is>
          <t>Saanvi Dave</t>
        </is>
      </c>
      <c r="E43" s="5" t="inlineStr">
        <is>
          <t>South</t>
        </is>
      </c>
      <c r="F43" s="5" t="inlineStr">
        <is>
          <t>Coffee Mug</t>
        </is>
      </c>
      <c r="G43" s="5" t="inlineStr">
        <is>
          <t>Home</t>
        </is>
      </c>
      <c r="H43" s="5" t="n">
        <v>1</v>
      </c>
      <c r="I43" s="7" t="n">
        <v>349</v>
      </c>
      <c r="J43" s="8">
        <f>H43*I43</f>
        <v/>
      </c>
      <c r="K43" s="5" t="inlineStr">
        <is>
          <t>UPI</t>
        </is>
      </c>
      <c r="L43" s="5" t="inlineStr">
        <is>
          <t>Online</t>
        </is>
      </c>
      <c r="M43" s="9">
        <f>TEXT(B43,"mmm-yyyy")</f>
        <v/>
      </c>
      <c r="N43" s="9">
        <f>DATEDIF(B43,TODAY(),"d")</f>
        <v/>
      </c>
      <c r="O43" s="10">
        <f>NOW()</f>
        <v/>
      </c>
    </row>
    <row r="44">
      <c r="A44" s="5" t="inlineStr">
        <is>
          <t>T0043</t>
        </is>
      </c>
      <c r="B44" s="6" t="n">
        <v>46256</v>
      </c>
      <c r="C44" s="5" t="inlineStr">
        <is>
          <t>C016</t>
        </is>
      </c>
      <c r="D44" s="5" t="inlineStr">
        <is>
          <t>Avni Patel</t>
        </is>
      </c>
      <c r="E44" s="5" t="inlineStr">
        <is>
          <t>Central</t>
        </is>
      </c>
      <c r="F44" s="5" t="inlineStr">
        <is>
          <t>Coffee Mug</t>
        </is>
      </c>
      <c r="G44" s="5" t="inlineStr">
        <is>
          <t>Home</t>
        </is>
      </c>
      <c r="H44" s="5" t="n">
        <v>5</v>
      </c>
      <c r="I44" s="7" t="n">
        <v>349</v>
      </c>
      <c r="J44" s="8">
        <f>H44*I44</f>
        <v/>
      </c>
      <c r="K44" s="5" t="inlineStr">
        <is>
          <t>Credit Card</t>
        </is>
      </c>
      <c r="L44" s="5" t="inlineStr">
        <is>
          <t>Online</t>
        </is>
      </c>
      <c r="M44" s="9">
        <f>TEXT(B44,"mmm-yyyy")</f>
        <v/>
      </c>
      <c r="N44" s="9">
        <f>DATEDIF(B44,TODAY(),"d")</f>
        <v/>
      </c>
      <c r="O44" s="10">
        <f>NOW()</f>
        <v/>
      </c>
    </row>
    <row r="45">
      <c r="A45" s="5" t="inlineStr">
        <is>
          <t>T0044</t>
        </is>
      </c>
      <c r="B45" s="6" t="n">
        <v>46178</v>
      </c>
      <c r="C45" s="5" t="inlineStr">
        <is>
          <t>C003</t>
        </is>
      </c>
      <c r="D45" s="5" t="inlineStr">
        <is>
          <t>Vivaan Mehta</t>
        </is>
      </c>
      <c r="E45" s="5" t="inlineStr">
        <is>
          <t>West</t>
        </is>
      </c>
      <c r="F45" s="5" t="inlineStr">
        <is>
          <t>USB-C Hub</t>
        </is>
      </c>
      <c r="G45" s="5" t="inlineStr">
        <is>
          <t>Electronics</t>
        </is>
      </c>
      <c r="H45" s="5" t="n">
        <v>1</v>
      </c>
      <c r="I45" s="7" t="n">
        <v>1899</v>
      </c>
      <c r="J45" s="8">
        <f>H45*I45</f>
        <v/>
      </c>
      <c r="K45" s="5" t="inlineStr">
        <is>
          <t>Credit Card</t>
        </is>
      </c>
      <c r="L45" s="5" t="inlineStr">
        <is>
          <t>Store</t>
        </is>
      </c>
      <c r="M45" s="9">
        <f>TEXT(B45,"mmm-yyyy")</f>
        <v/>
      </c>
      <c r="N45" s="9">
        <f>DATEDIF(B45,TODAY(),"d")</f>
        <v/>
      </c>
      <c r="O45" s="10">
        <f>NOW()</f>
        <v/>
      </c>
    </row>
    <row r="46">
      <c r="A46" s="5" t="inlineStr">
        <is>
          <t>T0045</t>
        </is>
      </c>
      <c r="B46" s="6" t="n">
        <v>45780</v>
      </c>
      <c r="C46" s="5" t="inlineStr">
        <is>
          <t>C029</t>
        </is>
      </c>
      <c r="D46" s="5" t="inlineStr">
        <is>
          <t>Om Patel</t>
        </is>
      </c>
      <c r="E46" s="5" t="inlineStr">
        <is>
          <t>Central</t>
        </is>
      </c>
      <c r="F46" s="5" t="inlineStr">
        <is>
          <t>Headphones</t>
        </is>
      </c>
      <c r="G46" s="5" t="inlineStr">
        <is>
          <t>Electronics</t>
        </is>
      </c>
      <c r="H46" s="5" t="n">
        <v>1</v>
      </c>
      <c r="I46" s="7" t="n">
        <v>2499</v>
      </c>
      <c r="J46" s="8">
        <f>H46*I46</f>
        <v/>
      </c>
      <c r="K46" s="5" t="inlineStr">
        <is>
          <t>UPI</t>
        </is>
      </c>
      <c r="L46" s="5" t="inlineStr">
        <is>
          <t>Mobile App</t>
        </is>
      </c>
      <c r="M46" s="9">
        <f>TEXT(B46,"mmm-yyyy")</f>
        <v/>
      </c>
      <c r="N46" s="9">
        <f>DATEDIF(B46,TODAY(),"d")</f>
        <v/>
      </c>
      <c r="O46" s="10">
        <f>NOW()</f>
        <v/>
      </c>
    </row>
    <row r="47">
      <c r="A47" s="5" t="inlineStr">
        <is>
          <t>T0046</t>
        </is>
      </c>
      <c r="B47" s="6" t="n">
        <v>45741</v>
      </c>
      <c r="C47" s="5" t="inlineStr">
        <is>
          <t>C014</t>
        </is>
      </c>
      <c r="D47" s="5" t="inlineStr">
        <is>
          <t>Aanya Parmar</t>
        </is>
      </c>
      <c r="E47" s="5" t="inlineStr">
        <is>
          <t>South</t>
        </is>
      </c>
      <c r="F47" s="5" t="inlineStr">
        <is>
          <t>Headphones</t>
        </is>
      </c>
      <c r="G47" s="5" t="inlineStr">
        <is>
          <t>Electronics</t>
        </is>
      </c>
      <c r="H47" s="5" t="n">
        <v>2</v>
      </c>
      <c r="I47" s="7" t="n">
        <v>2499</v>
      </c>
      <c r="J47" s="8">
        <f>H47*I47</f>
        <v/>
      </c>
      <c r="K47" s="5" t="inlineStr">
        <is>
          <t>Debit Card</t>
        </is>
      </c>
      <c r="L47" s="5" t="inlineStr">
        <is>
          <t>Online</t>
        </is>
      </c>
      <c r="M47" s="9">
        <f>TEXT(B47,"mmm-yyyy")</f>
        <v/>
      </c>
      <c r="N47" s="9">
        <f>DATEDIF(B47,TODAY(),"d")</f>
        <v/>
      </c>
      <c r="O47" s="10">
        <f>NOW()</f>
        <v/>
      </c>
    </row>
    <row r="48">
      <c r="A48" s="5" t="inlineStr">
        <is>
          <t>T0047</t>
        </is>
      </c>
      <c r="B48" s="6" t="n">
        <v>45979</v>
      </c>
      <c r="C48" s="5" t="inlineStr">
        <is>
          <t>C008</t>
        </is>
      </c>
      <c r="D48" s="5" t="inlineStr">
        <is>
          <t>Myra Shah</t>
        </is>
      </c>
      <c r="E48" s="5" t="inlineStr">
        <is>
          <t>South</t>
        </is>
      </c>
      <c r="F48" s="5" t="inlineStr">
        <is>
          <t>Premium Pen</t>
        </is>
      </c>
      <c r="G48" s="5" t="inlineStr">
        <is>
          <t>Stationery</t>
        </is>
      </c>
      <c r="H48" s="5" t="n">
        <v>2</v>
      </c>
      <c r="I48" s="7" t="n">
        <v>399</v>
      </c>
      <c r="J48" s="8">
        <f>H48*I48</f>
        <v/>
      </c>
      <c r="K48" s="5" t="inlineStr">
        <is>
          <t>Cash</t>
        </is>
      </c>
      <c r="L48" s="5" t="inlineStr">
        <is>
          <t>Store</t>
        </is>
      </c>
      <c r="M48" s="9">
        <f>TEXT(B48,"mmm-yyyy")</f>
        <v/>
      </c>
      <c r="N48" s="9">
        <f>DATEDIF(B48,TODAY(),"d")</f>
        <v/>
      </c>
      <c r="O48" s="10">
        <f>NOW()</f>
        <v/>
      </c>
    </row>
    <row r="49">
      <c r="A49" s="5" t="inlineStr">
        <is>
          <t>T0048</t>
        </is>
      </c>
      <c r="B49" s="6" t="n">
        <v>45732</v>
      </c>
      <c r="C49" s="5" t="inlineStr">
        <is>
          <t>C001</t>
        </is>
      </c>
      <c r="D49" s="5" t="inlineStr">
        <is>
          <t>Aarav Patel</t>
        </is>
      </c>
      <c r="E49" s="5" t="inlineStr">
        <is>
          <t>Central</t>
        </is>
      </c>
      <c r="F49" s="5" t="inlineStr">
        <is>
          <t>Desk Lamp</t>
        </is>
      </c>
      <c r="G49" s="5" t="inlineStr">
        <is>
          <t>Home</t>
        </is>
      </c>
      <c r="H49" s="5" t="n">
        <v>2</v>
      </c>
      <c r="I49" s="7" t="n">
        <v>1099</v>
      </c>
      <c r="J49" s="8">
        <f>H49*I49</f>
        <v/>
      </c>
      <c r="K49" s="5" t="inlineStr">
        <is>
          <t>UPI</t>
        </is>
      </c>
      <c r="L49" s="5" t="inlineStr">
        <is>
          <t>Online</t>
        </is>
      </c>
      <c r="M49" s="9">
        <f>TEXT(B49,"mmm-yyyy")</f>
        <v/>
      </c>
      <c r="N49" s="9">
        <f>DATEDIF(B49,TODAY(),"d")</f>
        <v/>
      </c>
      <c r="O49" s="10">
        <f>NOW()</f>
        <v/>
      </c>
    </row>
    <row r="50">
      <c r="A50" s="5" t="inlineStr">
        <is>
          <t>T0049</t>
        </is>
      </c>
      <c r="B50" s="6" t="n">
        <v>46208</v>
      </c>
      <c r="C50" s="5" t="inlineStr">
        <is>
          <t>C007</t>
        </is>
      </c>
      <c r="D50" s="5" t="inlineStr">
        <is>
          <t>Reyansh Modi</t>
        </is>
      </c>
      <c r="E50" s="5" t="inlineStr">
        <is>
          <t>South</t>
        </is>
      </c>
      <c r="F50" s="5" t="inlineStr">
        <is>
          <t>Coffee Mug</t>
        </is>
      </c>
      <c r="G50" s="5" t="inlineStr">
        <is>
          <t>Home</t>
        </is>
      </c>
      <c r="H50" s="5" t="n">
        <v>1</v>
      </c>
      <c r="I50" s="7" t="n">
        <v>349</v>
      </c>
      <c r="J50" s="8">
        <f>H50*I50</f>
        <v/>
      </c>
      <c r="K50" s="5" t="inlineStr">
        <is>
          <t>UPI</t>
        </is>
      </c>
      <c r="L50" s="5" t="inlineStr">
        <is>
          <t>Online</t>
        </is>
      </c>
      <c r="M50" s="9">
        <f>TEXT(B50,"mmm-yyyy")</f>
        <v/>
      </c>
      <c r="N50" s="9">
        <f>DATEDIF(B50,TODAY(),"d")</f>
        <v/>
      </c>
      <c r="O50" s="10">
        <f>NOW()</f>
        <v/>
      </c>
    </row>
    <row r="51">
      <c r="A51" s="5" t="inlineStr">
        <is>
          <t>T0050</t>
        </is>
      </c>
      <c r="B51" s="6" t="n">
        <v>46036</v>
      </c>
      <c r="C51" s="5" t="inlineStr">
        <is>
          <t>C010</t>
        </is>
      </c>
      <c r="D51" s="5" t="inlineStr">
        <is>
          <t>Sara Mehta</t>
        </is>
      </c>
      <c r="E51" s="5" t="inlineStr">
        <is>
          <t>Central</t>
        </is>
      </c>
      <c r="F51" s="5" t="inlineStr">
        <is>
          <t>USB-C Hub</t>
        </is>
      </c>
      <c r="G51" s="5" t="inlineStr">
        <is>
          <t>Electronics</t>
        </is>
      </c>
      <c r="H51" s="5" t="n">
        <v>2</v>
      </c>
      <c r="I51" s="7" t="n">
        <v>1899</v>
      </c>
      <c r="J51" s="8">
        <f>H51*I51</f>
        <v/>
      </c>
      <c r="K51" s="5" t="inlineStr">
        <is>
          <t>Debit Card</t>
        </is>
      </c>
      <c r="L51" s="5" t="inlineStr">
        <is>
          <t>Mobile App</t>
        </is>
      </c>
      <c r="M51" s="9">
        <f>TEXT(B51,"mmm-yyyy")</f>
        <v/>
      </c>
      <c r="N51" s="9">
        <f>DATEDIF(B51,TODAY(),"d")</f>
        <v/>
      </c>
      <c r="O51" s="10">
        <f>NOW()</f>
        <v/>
      </c>
    </row>
    <row r="52">
      <c r="A52" s="5" t="inlineStr">
        <is>
          <t>T0051</t>
        </is>
      </c>
      <c r="B52" s="6" t="n">
        <v>46199</v>
      </c>
      <c r="C52" s="5" t="inlineStr">
        <is>
          <t>C001</t>
        </is>
      </c>
      <c r="D52" s="5" t="inlineStr">
        <is>
          <t>Aarav Patel</t>
        </is>
      </c>
      <c r="E52" s="5" t="inlineStr">
        <is>
          <t>West</t>
        </is>
      </c>
      <c r="F52" s="5" t="inlineStr">
        <is>
          <t>Coffee Mug</t>
        </is>
      </c>
      <c r="G52" s="5" t="inlineStr">
        <is>
          <t>Home</t>
        </is>
      </c>
      <c r="H52" s="5" t="n">
        <v>1</v>
      </c>
      <c r="I52" s="7" t="n">
        <v>349</v>
      </c>
      <c r="J52" s="8">
        <f>H52*I52</f>
        <v/>
      </c>
      <c r="K52" s="5" t="inlineStr">
        <is>
          <t>Credit Card</t>
        </is>
      </c>
      <c r="L52" s="5" t="inlineStr">
        <is>
          <t>Store</t>
        </is>
      </c>
      <c r="M52" s="9">
        <f>TEXT(B52,"mmm-yyyy")</f>
        <v/>
      </c>
      <c r="N52" s="9">
        <f>DATEDIF(B52,TODAY(),"d")</f>
        <v/>
      </c>
      <c r="O52" s="10">
        <f>NOW()</f>
        <v/>
      </c>
    </row>
    <row r="53">
      <c r="A53" s="5" t="inlineStr">
        <is>
          <t>T0052</t>
        </is>
      </c>
      <c r="B53" s="6" t="n">
        <v>45776</v>
      </c>
      <c r="C53" s="5" t="inlineStr">
        <is>
          <t>C029</t>
        </is>
      </c>
      <c r="D53" s="5" t="inlineStr">
        <is>
          <t>Om Patel</t>
        </is>
      </c>
      <c r="E53" s="5" t="inlineStr">
        <is>
          <t>North</t>
        </is>
      </c>
      <c r="F53" s="5" t="inlineStr">
        <is>
          <t>Keyboard</t>
        </is>
      </c>
      <c r="G53" s="5" t="inlineStr">
        <is>
          <t>Electronics</t>
        </is>
      </c>
      <c r="H53" s="5" t="n">
        <v>3</v>
      </c>
      <c r="I53" s="7" t="n">
        <v>1299</v>
      </c>
      <c r="J53" s="8">
        <f>H53*I53</f>
        <v/>
      </c>
      <c r="K53" s="5" t="inlineStr">
        <is>
          <t>Debit Card</t>
        </is>
      </c>
      <c r="L53" s="5" t="inlineStr">
        <is>
          <t>Store</t>
        </is>
      </c>
      <c r="M53" s="9">
        <f>TEXT(B53,"mmm-yyyy")</f>
        <v/>
      </c>
      <c r="N53" s="9">
        <f>DATEDIF(B53,TODAY(),"d")</f>
        <v/>
      </c>
      <c r="O53" s="10">
        <f>NOW()</f>
        <v/>
      </c>
    </row>
    <row r="54">
      <c r="A54" s="5" t="inlineStr">
        <is>
          <t>T0053</t>
        </is>
      </c>
      <c r="B54" s="6" t="n">
        <v>46277</v>
      </c>
      <c r="C54" s="5" t="inlineStr">
        <is>
          <t>C007</t>
        </is>
      </c>
      <c r="D54" s="5" t="inlineStr">
        <is>
          <t>Reyansh Modi</t>
        </is>
      </c>
      <c r="E54" s="5" t="inlineStr">
        <is>
          <t>South</t>
        </is>
      </c>
      <c r="F54" s="5" t="inlineStr">
        <is>
          <t>Water Bottle</t>
        </is>
      </c>
      <c r="G54" s="5" t="inlineStr">
        <is>
          <t>Lifestyle</t>
        </is>
      </c>
      <c r="H54" s="5" t="n">
        <v>1</v>
      </c>
      <c r="I54" s="7" t="n">
        <v>599</v>
      </c>
      <c r="J54" s="8">
        <f>H54*I54</f>
        <v/>
      </c>
      <c r="K54" s="5" t="inlineStr">
        <is>
          <t>Net Banking</t>
        </is>
      </c>
      <c r="L54" s="5" t="inlineStr">
        <is>
          <t>Store</t>
        </is>
      </c>
      <c r="M54" s="9">
        <f>TEXT(B54,"mmm-yyyy")</f>
        <v/>
      </c>
      <c r="N54" s="9">
        <f>DATEDIF(B54,TODAY(),"d")</f>
        <v/>
      </c>
      <c r="O54" s="10">
        <f>NOW()</f>
        <v/>
      </c>
    </row>
    <row r="55">
      <c r="A55" s="5" t="inlineStr">
        <is>
          <t>T0054</t>
        </is>
      </c>
      <c r="B55" s="6" t="n">
        <v>45915</v>
      </c>
      <c r="C55" s="5" t="inlineStr">
        <is>
          <t>C029</t>
        </is>
      </c>
      <c r="D55" s="5" t="inlineStr">
        <is>
          <t>Om Patel</t>
        </is>
      </c>
      <c r="E55" s="5" t="inlineStr">
        <is>
          <t>East</t>
        </is>
      </c>
      <c r="F55" s="5" t="inlineStr">
        <is>
          <t>Wireless Mouse</t>
        </is>
      </c>
      <c r="G55" s="5" t="inlineStr">
        <is>
          <t>Electronics</t>
        </is>
      </c>
      <c r="H55" s="5" t="n">
        <v>1</v>
      </c>
      <c r="I55" s="7" t="n">
        <v>799</v>
      </c>
      <c r="J55" s="8">
        <f>H55*I55</f>
        <v/>
      </c>
      <c r="K55" s="5" t="inlineStr">
        <is>
          <t>Debit Card</t>
        </is>
      </c>
      <c r="L55" s="5" t="inlineStr">
        <is>
          <t>Online</t>
        </is>
      </c>
      <c r="M55" s="9">
        <f>TEXT(B55,"mmm-yyyy")</f>
        <v/>
      </c>
      <c r="N55" s="9">
        <f>DATEDIF(B55,TODAY(),"d")</f>
        <v/>
      </c>
      <c r="O55" s="10">
        <f>NOW()</f>
        <v/>
      </c>
    </row>
    <row r="56">
      <c r="A56" s="5" t="inlineStr">
        <is>
          <t>T0055</t>
        </is>
      </c>
      <c r="B56" s="6" t="n">
        <v>45661</v>
      </c>
      <c r="C56" s="5" t="inlineStr">
        <is>
          <t>C011</t>
        </is>
      </c>
      <c r="D56" s="5" t="inlineStr">
        <is>
          <t>Krish Dave</t>
        </is>
      </c>
      <c r="E56" s="5" t="inlineStr">
        <is>
          <t>South</t>
        </is>
      </c>
      <c r="F56" s="5" t="inlineStr">
        <is>
          <t>USB-C Hub</t>
        </is>
      </c>
      <c r="G56" s="5" t="inlineStr">
        <is>
          <t>Electronics</t>
        </is>
      </c>
      <c r="H56" s="5" t="n">
        <v>3</v>
      </c>
      <c r="I56" s="7" t="n">
        <v>1899</v>
      </c>
      <c r="J56" s="8">
        <f>H56*I56</f>
        <v/>
      </c>
      <c r="K56" s="5" t="inlineStr">
        <is>
          <t>Credit Card</t>
        </is>
      </c>
      <c r="L56" s="5" t="inlineStr">
        <is>
          <t>Mobile App</t>
        </is>
      </c>
      <c r="M56" s="9">
        <f>TEXT(B56,"mmm-yyyy")</f>
        <v/>
      </c>
      <c r="N56" s="9">
        <f>DATEDIF(B56,TODAY(),"d")</f>
        <v/>
      </c>
      <c r="O56" s="10">
        <f>NOW()</f>
        <v/>
      </c>
    </row>
    <row r="57">
      <c r="A57" s="5" t="inlineStr">
        <is>
          <t>T0056</t>
        </is>
      </c>
      <c r="B57" s="6" t="n">
        <v>46110</v>
      </c>
      <c r="C57" s="5" t="inlineStr">
        <is>
          <t>C018</t>
        </is>
      </c>
      <c r="D57" s="5" t="inlineStr">
        <is>
          <t>Navya Desai</t>
        </is>
      </c>
      <c r="E57" s="5" t="inlineStr">
        <is>
          <t>West</t>
        </is>
      </c>
      <c r="F57" s="5" t="inlineStr">
        <is>
          <t>Backpack</t>
        </is>
      </c>
      <c r="G57" s="5" t="inlineStr">
        <is>
          <t>Lifestyle</t>
        </is>
      </c>
      <c r="H57" s="5" t="n">
        <v>2</v>
      </c>
      <c r="I57" s="7" t="n">
        <v>1499</v>
      </c>
      <c r="J57" s="8">
        <f>H57*I57</f>
        <v/>
      </c>
      <c r="K57" s="5" t="inlineStr">
        <is>
          <t>UPI</t>
        </is>
      </c>
      <c r="L57" s="5" t="inlineStr">
        <is>
          <t>Mobile App</t>
        </is>
      </c>
      <c r="M57" s="9">
        <f>TEXT(B57,"mmm-yyyy")</f>
        <v/>
      </c>
      <c r="N57" s="9">
        <f>DATEDIF(B57,TODAY(),"d")</f>
        <v/>
      </c>
      <c r="O57" s="10">
        <f>NOW()</f>
        <v/>
      </c>
    </row>
    <row r="58">
      <c r="A58" s="5" t="inlineStr">
        <is>
          <t>T0057</t>
        </is>
      </c>
      <c r="B58" s="6" t="n">
        <v>45810</v>
      </c>
      <c r="C58" s="5" t="inlineStr">
        <is>
          <t>C018</t>
        </is>
      </c>
      <c r="D58" s="5" t="inlineStr">
        <is>
          <t>Navya Desai</t>
        </is>
      </c>
      <c r="E58" s="5" t="inlineStr">
        <is>
          <t>Central</t>
        </is>
      </c>
      <c r="F58" s="5" t="inlineStr">
        <is>
          <t>Wireless Mouse</t>
        </is>
      </c>
      <c r="G58" s="5" t="inlineStr">
        <is>
          <t>Electronics</t>
        </is>
      </c>
      <c r="H58" s="5" t="n">
        <v>4</v>
      </c>
      <c r="I58" s="7" t="n">
        <v>799</v>
      </c>
      <c r="J58" s="8">
        <f>H58*I58</f>
        <v/>
      </c>
      <c r="K58" s="5" t="inlineStr">
        <is>
          <t>Net Banking</t>
        </is>
      </c>
      <c r="L58" s="5" t="inlineStr">
        <is>
          <t>Online</t>
        </is>
      </c>
      <c r="M58" s="9">
        <f>TEXT(B58,"mmm-yyyy")</f>
        <v/>
      </c>
      <c r="N58" s="9">
        <f>DATEDIF(B58,TODAY(),"d")</f>
        <v/>
      </c>
      <c r="O58" s="10">
        <f>NOW()</f>
        <v/>
      </c>
    </row>
    <row r="59">
      <c r="A59" s="5" t="inlineStr">
        <is>
          <t>T0058</t>
        </is>
      </c>
      <c r="B59" s="6" t="n">
        <v>46098</v>
      </c>
      <c r="C59" s="5" t="inlineStr">
        <is>
          <t>C005</t>
        </is>
      </c>
      <c r="D59" s="5" t="inlineStr">
        <is>
          <t>Arjun Joshi</t>
        </is>
      </c>
      <c r="E59" s="5" t="inlineStr">
        <is>
          <t>West</t>
        </is>
      </c>
      <c r="F59" s="5" t="inlineStr">
        <is>
          <t>Wireless Mouse</t>
        </is>
      </c>
      <c r="G59" s="5" t="inlineStr">
        <is>
          <t>Electronics</t>
        </is>
      </c>
      <c r="H59" s="5" t="n">
        <v>1</v>
      </c>
      <c r="I59" s="7" t="n">
        <v>799</v>
      </c>
      <c r="J59" s="8">
        <f>H59*I59</f>
        <v/>
      </c>
      <c r="K59" s="5" t="inlineStr">
        <is>
          <t>Debit Card</t>
        </is>
      </c>
      <c r="L59" s="5" t="inlineStr">
        <is>
          <t>Online</t>
        </is>
      </c>
      <c r="M59" s="9">
        <f>TEXT(B59,"mmm-yyyy")</f>
        <v/>
      </c>
      <c r="N59" s="9">
        <f>DATEDIF(B59,TODAY(),"d")</f>
        <v/>
      </c>
      <c r="O59" s="10">
        <f>NOW()</f>
        <v/>
      </c>
    </row>
    <row r="60">
      <c r="A60" s="5" t="inlineStr">
        <is>
          <t>T0059</t>
        </is>
      </c>
      <c r="B60" s="6" t="n">
        <v>45913</v>
      </c>
      <c r="C60" s="5" t="inlineStr">
        <is>
          <t>C022</t>
        </is>
      </c>
      <c r="D60" s="5" t="inlineStr">
        <is>
          <t>Pari Patel</t>
        </is>
      </c>
      <c r="E60" s="5" t="inlineStr">
        <is>
          <t>Central</t>
        </is>
      </c>
      <c r="F60" s="5" t="inlineStr">
        <is>
          <t>Keyboard</t>
        </is>
      </c>
      <c r="G60" s="5" t="inlineStr">
        <is>
          <t>Electronics</t>
        </is>
      </c>
      <c r="H60" s="5" t="n">
        <v>2</v>
      </c>
      <c r="I60" s="7" t="n">
        <v>1299</v>
      </c>
      <c r="J60" s="8">
        <f>H60*I60</f>
        <v/>
      </c>
      <c r="K60" s="5" t="inlineStr">
        <is>
          <t>Cash</t>
        </is>
      </c>
      <c r="L60" s="5" t="inlineStr">
        <is>
          <t>Mobile App</t>
        </is>
      </c>
      <c r="M60" s="9">
        <f>TEXT(B60,"mmm-yyyy")</f>
        <v/>
      </c>
      <c r="N60" s="9">
        <f>DATEDIF(B60,TODAY(),"d")</f>
        <v/>
      </c>
      <c r="O60" s="10">
        <f>NOW()</f>
        <v/>
      </c>
    </row>
    <row r="61">
      <c r="A61" s="5" t="inlineStr">
        <is>
          <t>T0060</t>
        </is>
      </c>
      <c r="B61" s="6" t="n">
        <v>45816</v>
      </c>
      <c r="C61" s="5" t="inlineStr">
        <is>
          <t>C030</t>
        </is>
      </c>
      <c r="D61" s="5" t="inlineStr">
        <is>
          <t>Zoya Mehta</t>
        </is>
      </c>
      <c r="E61" s="5" t="inlineStr">
        <is>
          <t>North</t>
        </is>
      </c>
      <c r="F61" s="5" t="inlineStr">
        <is>
          <t>Notebook Pack</t>
        </is>
      </c>
      <c r="G61" s="5" t="inlineStr">
        <is>
          <t>Stationery</t>
        </is>
      </c>
      <c r="H61" s="5" t="n">
        <v>4</v>
      </c>
      <c r="I61" s="7" t="n">
        <v>249</v>
      </c>
      <c r="J61" s="8">
        <f>H61*I61</f>
        <v/>
      </c>
      <c r="K61" s="5" t="inlineStr">
        <is>
          <t>Cash</t>
        </is>
      </c>
      <c r="L61" s="5" t="inlineStr">
        <is>
          <t>Online</t>
        </is>
      </c>
      <c r="M61" s="9">
        <f>TEXT(B61,"mmm-yyyy")</f>
        <v/>
      </c>
      <c r="N61" s="9">
        <f>DATEDIF(B61,TODAY(),"d")</f>
        <v/>
      </c>
      <c r="O61" s="10">
        <f>NOW()</f>
        <v/>
      </c>
    </row>
    <row r="62">
      <c r="A62" s="5" t="inlineStr">
        <is>
          <t>T0061</t>
        </is>
      </c>
      <c r="B62" s="6" t="n">
        <v>45841</v>
      </c>
      <c r="C62" s="5" t="inlineStr">
        <is>
          <t>C024</t>
        </is>
      </c>
      <c r="D62" s="5" t="inlineStr">
        <is>
          <t>Saanvi Dave</t>
        </is>
      </c>
      <c r="E62" s="5" t="inlineStr">
        <is>
          <t>East</t>
        </is>
      </c>
      <c r="F62" s="5" t="inlineStr">
        <is>
          <t>Water Bottle</t>
        </is>
      </c>
      <c r="G62" s="5" t="inlineStr">
        <is>
          <t>Lifestyle</t>
        </is>
      </c>
      <c r="H62" s="5" t="n">
        <v>3</v>
      </c>
      <c r="I62" s="7" t="n">
        <v>599</v>
      </c>
      <c r="J62" s="8">
        <f>H62*I62</f>
        <v/>
      </c>
      <c r="K62" s="5" t="inlineStr">
        <is>
          <t>Credit Card</t>
        </is>
      </c>
      <c r="L62" s="5" t="inlineStr">
        <is>
          <t>Store</t>
        </is>
      </c>
      <c r="M62" s="9">
        <f>TEXT(B62,"mmm-yyyy")</f>
        <v/>
      </c>
      <c r="N62" s="9">
        <f>DATEDIF(B62,TODAY(),"d")</f>
        <v/>
      </c>
      <c r="O62" s="10">
        <f>NOW()</f>
        <v/>
      </c>
    </row>
    <row r="63">
      <c r="A63" s="5" t="inlineStr">
        <is>
          <t>T0062</t>
        </is>
      </c>
      <c r="B63" s="6" t="n">
        <v>45821</v>
      </c>
      <c r="C63" s="5" t="inlineStr">
        <is>
          <t>C026</t>
        </is>
      </c>
      <c r="D63" s="5" t="inlineStr">
        <is>
          <t>Mira Joshi</t>
        </is>
      </c>
      <c r="E63" s="5" t="inlineStr">
        <is>
          <t>West</t>
        </is>
      </c>
      <c r="F63" s="5" t="inlineStr">
        <is>
          <t>Keyboard</t>
        </is>
      </c>
      <c r="G63" s="5" t="inlineStr">
        <is>
          <t>Electronics</t>
        </is>
      </c>
      <c r="H63" s="5" t="n">
        <v>2</v>
      </c>
      <c r="I63" s="7" t="n">
        <v>1299</v>
      </c>
      <c r="J63" s="8">
        <f>H63*I63</f>
        <v/>
      </c>
      <c r="K63" s="5" t="inlineStr">
        <is>
          <t>Cash</t>
        </is>
      </c>
      <c r="L63" s="5" t="inlineStr">
        <is>
          <t>Online</t>
        </is>
      </c>
      <c r="M63" s="9">
        <f>TEXT(B63,"mmm-yyyy")</f>
        <v/>
      </c>
      <c r="N63" s="9">
        <f>DATEDIF(B63,TODAY(),"d")</f>
        <v/>
      </c>
      <c r="O63" s="10">
        <f>NOW()</f>
        <v/>
      </c>
    </row>
    <row r="64">
      <c r="A64" s="5" t="inlineStr">
        <is>
          <t>T0063</t>
        </is>
      </c>
      <c r="B64" s="6" t="n">
        <v>45862</v>
      </c>
      <c r="C64" s="5" t="inlineStr">
        <is>
          <t>C027</t>
        </is>
      </c>
      <c r="D64" s="5" t="inlineStr">
        <is>
          <t>Ayaan Desai</t>
        </is>
      </c>
      <c r="E64" s="5" t="inlineStr">
        <is>
          <t>North</t>
        </is>
      </c>
      <c r="F64" s="5" t="inlineStr">
        <is>
          <t>Desk Lamp</t>
        </is>
      </c>
      <c r="G64" s="5" t="inlineStr">
        <is>
          <t>Home</t>
        </is>
      </c>
      <c r="H64" s="5" t="n">
        <v>1</v>
      </c>
      <c r="I64" s="7" t="n">
        <v>1099</v>
      </c>
      <c r="J64" s="8">
        <f>H64*I64</f>
        <v/>
      </c>
      <c r="K64" s="5" t="inlineStr">
        <is>
          <t>Credit Card</t>
        </is>
      </c>
      <c r="L64" s="5" t="inlineStr">
        <is>
          <t>Online</t>
        </is>
      </c>
      <c r="M64" s="9">
        <f>TEXT(B64,"mmm-yyyy")</f>
        <v/>
      </c>
      <c r="N64" s="9">
        <f>DATEDIF(B64,TODAY(),"d")</f>
        <v/>
      </c>
      <c r="O64" s="10">
        <f>NOW()</f>
        <v/>
      </c>
    </row>
    <row r="65">
      <c r="A65" s="5" t="inlineStr">
        <is>
          <t>T0064</t>
        </is>
      </c>
      <c r="B65" s="6" t="n">
        <v>45855</v>
      </c>
      <c r="C65" s="5" t="inlineStr">
        <is>
          <t>C013</t>
        </is>
      </c>
      <c r="D65" s="5" t="inlineStr">
        <is>
          <t>Rudra Desai</t>
        </is>
      </c>
      <c r="E65" s="5" t="inlineStr">
        <is>
          <t>West</t>
        </is>
      </c>
      <c r="F65" s="5" t="inlineStr">
        <is>
          <t>Water Bottle</t>
        </is>
      </c>
      <c r="G65" s="5" t="inlineStr">
        <is>
          <t>Lifestyle</t>
        </is>
      </c>
      <c r="H65" s="5" t="n">
        <v>1</v>
      </c>
      <c r="I65" s="7" t="n">
        <v>599</v>
      </c>
      <c r="J65" s="8">
        <f>H65*I65</f>
        <v/>
      </c>
      <c r="K65" s="5" t="inlineStr">
        <is>
          <t>Debit Card</t>
        </is>
      </c>
      <c r="L65" s="5" t="inlineStr">
        <is>
          <t>Store</t>
        </is>
      </c>
      <c r="M65" s="9">
        <f>TEXT(B65,"mmm-yyyy")</f>
        <v/>
      </c>
      <c r="N65" s="9">
        <f>DATEDIF(B65,TODAY(),"d")</f>
        <v/>
      </c>
      <c r="O65" s="10">
        <f>NOW()</f>
        <v/>
      </c>
    </row>
    <row r="66">
      <c r="A66" s="5" t="inlineStr">
        <is>
          <t>T0065</t>
        </is>
      </c>
      <c r="B66" s="6" t="n">
        <v>46179</v>
      </c>
      <c r="C66" s="5" t="inlineStr">
        <is>
          <t>C013</t>
        </is>
      </c>
      <c r="D66" s="5" t="inlineStr">
        <is>
          <t>Rudra Desai</t>
        </is>
      </c>
      <c r="E66" s="5" t="inlineStr">
        <is>
          <t>West</t>
        </is>
      </c>
      <c r="F66" s="5" t="inlineStr">
        <is>
          <t>Coffee Mug</t>
        </is>
      </c>
      <c r="G66" s="5" t="inlineStr">
        <is>
          <t>Home</t>
        </is>
      </c>
      <c r="H66" s="5" t="n">
        <v>1</v>
      </c>
      <c r="I66" s="7" t="n">
        <v>349</v>
      </c>
      <c r="J66" s="8">
        <f>H66*I66</f>
        <v/>
      </c>
      <c r="K66" s="5" t="inlineStr">
        <is>
          <t>UPI</t>
        </is>
      </c>
      <c r="L66" s="5" t="inlineStr">
        <is>
          <t>Store</t>
        </is>
      </c>
      <c r="M66" s="9">
        <f>TEXT(B66,"mmm-yyyy")</f>
        <v/>
      </c>
      <c r="N66" s="9">
        <f>DATEDIF(B66,TODAY(),"d")</f>
        <v/>
      </c>
      <c r="O66" s="10">
        <f>NOW()</f>
        <v/>
      </c>
    </row>
    <row r="67">
      <c r="A67" s="5" t="inlineStr">
        <is>
          <t>T0066</t>
        </is>
      </c>
      <c r="B67" s="6" t="n">
        <v>45840</v>
      </c>
      <c r="C67" s="5" t="inlineStr">
        <is>
          <t>C019</t>
        </is>
      </c>
      <c r="D67" s="5" t="inlineStr">
        <is>
          <t>Dhruv Joshi</t>
        </is>
      </c>
      <c r="E67" s="5" t="inlineStr">
        <is>
          <t>Central</t>
        </is>
      </c>
      <c r="F67" s="5" t="inlineStr">
        <is>
          <t>Premium Pen</t>
        </is>
      </c>
      <c r="G67" s="5" t="inlineStr">
        <is>
          <t>Stationery</t>
        </is>
      </c>
      <c r="H67" s="5" t="n">
        <v>1</v>
      </c>
      <c r="I67" s="7" t="n">
        <v>399</v>
      </c>
      <c r="J67" s="8">
        <f>H67*I67</f>
        <v/>
      </c>
      <c r="K67" s="5" t="inlineStr">
        <is>
          <t>Cash</t>
        </is>
      </c>
      <c r="L67" s="5" t="inlineStr">
        <is>
          <t>Store</t>
        </is>
      </c>
      <c r="M67" s="9">
        <f>TEXT(B67,"mmm-yyyy")</f>
        <v/>
      </c>
      <c r="N67" s="9">
        <f>DATEDIF(B67,TODAY(),"d")</f>
        <v/>
      </c>
      <c r="O67" s="10">
        <f>NOW()</f>
        <v/>
      </c>
    </row>
    <row r="68">
      <c r="A68" s="5" t="inlineStr">
        <is>
          <t>T0067</t>
        </is>
      </c>
      <c r="B68" s="6" t="n">
        <v>45979</v>
      </c>
      <c r="C68" s="5" t="inlineStr">
        <is>
          <t>C014</t>
        </is>
      </c>
      <c r="D68" s="5" t="inlineStr">
        <is>
          <t>Aanya Parmar</t>
        </is>
      </c>
      <c r="E68" s="5" t="inlineStr">
        <is>
          <t>West</t>
        </is>
      </c>
      <c r="F68" s="5" t="inlineStr">
        <is>
          <t>Headphones</t>
        </is>
      </c>
      <c r="G68" s="5" t="inlineStr">
        <is>
          <t>Electronics</t>
        </is>
      </c>
      <c r="H68" s="5" t="n">
        <v>6</v>
      </c>
      <c r="I68" s="7" t="n">
        <v>2499</v>
      </c>
      <c r="J68" s="8">
        <f>H68*I68</f>
        <v/>
      </c>
      <c r="K68" s="5" t="inlineStr">
        <is>
          <t>Cash</t>
        </is>
      </c>
      <c r="L68" s="5" t="inlineStr">
        <is>
          <t>Mobile App</t>
        </is>
      </c>
      <c r="M68" s="9">
        <f>TEXT(B68,"mmm-yyyy")</f>
        <v/>
      </c>
      <c r="N68" s="9">
        <f>DATEDIF(B68,TODAY(),"d")</f>
        <v/>
      </c>
      <c r="O68" s="10">
        <f>NOW()</f>
        <v/>
      </c>
    </row>
    <row r="69">
      <c r="A69" s="5" t="inlineStr">
        <is>
          <t>T0068</t>
        </is>
      </c>
      <c r="B69" s="6" t="n">
        <v>45852</v>
      </c>
      <c r="C69" s="5" t="inlineStr">
        <is>
          <t>C009</t>
        </is>
      </c>
      <c r="D69" s="5" t="inlineStr">
        <is>
          <t>Aditya Patel</t>
        </is>
      </c>
      <c r="E69" s="5" t="inlineStr">
        <is>
          <t>West</t>
        </is>
      </c>
      <c r="F69" s="5" t="inlineStr">
        <is>
          <t>Wireless Mouse</t>
        </is>
      </c>
      <c r="G69" s="5" t="inlineStr">
        <is>
          <t>Electronics</t>
        </is>
      </c>
      <c r="H69" s="5" t="n">
        <v>3</v>
      </c>
      <c r="I69" s="7" t="n">
        <v>799</v>
      </c>
      <c r="J69" s="8">
        <f>H69*I69</f>
        <v/>
      </c>
      <c r="K69" s="5" t="inlineStr">
        <is>
          <t>Net Banking</t>
        </is>
      </c>
      <c r="L69" s="5" t="inlineStr">
        <is>
          <t>Mobile App</t>
        </is>
      </c>
      <c r="M69" s="9">
        <f>TEXT(B69,"mmm-yyyy")</f>
        <v/>
      </c>
      <c r="N69" s="9">
        <f>DATEDIF(B69,TODAY(),"d")</f>
        <v/>
      </c>
      <c r="O69" s="10">
        <f>NOW()</f>
        <v/>
      </c>
    </row>
    <row r="70">
      <c r="A70" s="5" t="inlineStr">
        <is>
          <t>T0069</t>
        </is>
      </c>
      <c r="B70" s="6" t="n">
        <v>45859</v>
      </c>
      <c r="C70" s="5" t="inlineStr">
        <is>
          <t>C012</t>
        </is>
      </c>
      <c r="D70" s="5" t="inlineStr">
        <is>
          <t>Kiara Joshi</t>
        </is>
      </c>
      <c r="E70" s="5" t="inlineStr">
        <is>
          <t>South</t>
        </is>
      </c>
      <c r="F70" s="5" t="inlineStr">
        <is>
          <t>Backpack</t>
        </is>
      </c>
      <c r="G70" s="5" t="inlineStr">
        <is>
          <t>Lifestyle</t>
        </is>
      </c>
      <c r="H70" s="5" t="n">
        <v>1</v>
      </c>
      <c r="I70" s="7" t="n">
        <v>1499</v>
      </c>
      <c r="J70" s="8">
        <f>H70*I70</f>
        <v/>
      </c>
      <c r="K70" s="5" t="inlineStr">
        <is>
          <t>Net Banking</t>
        </is>
      </c>
      <c r="L70" s="5" t="inlineStr">
        <is>
          <t>Store</t>
        </is>
      </c>
      <c r="M70" s="9">
        <f>TEXT(B70,"mmm-yyyy")</f>
        <v/>
      </c>
      <c r="N70" s="9">
        <f>DATEDIF(B70,TODAY(),"d")</f>
        <v/>
      </c>
      <c r="O70" s="10">
        <f>NOW()</f>
        <v/>
      </c>
    </row>
    <row r="71">
      <c r="A71" s="5" t="inlineStr">
        <is>
          <t>T0070</t>
        </is>
      </c>
      <c r="B71" s="6" t="n">
        <v>45785</v>
      </c>
      <c r="C71" s="5" t="inlineStr">
        <is>
          <t>C024</t>
        </is>
      </c>
      <c r="D71" s="5" t="inlineStr">
        <is>
          <t>Saanvi Dave</t>
        </is>
      </c>
      <c r="E71" s="5" t="inlineStr">
        <is>
          <t>East</t>
        </is>
      </c>
      <c r="F71" s="5" t="inlineStr">
        <is>
          <t>Premium Pen</t>
        </is>
      </c>
      <c r="G71" s="5" t="inlineStr">
        <is>
          <t>Stationery</t>
        </is>
      </c>
      <c r="H71" s="5" t="n">
        <v>2</v>
      </c>
      <c r="I71" s="7" t="n">
        <v>399</v>
      </c>
      <c r="J71" s="8">
        <f>H71*I71</f>
        <v/>
      </c>
      <c r="K71" s="5" t="inlineStr">
        <is>
          <t>Debit Card</t>
        </is>
      </c>
      <c r="L71" s="5" t="inlineStr">
        <is>
          <t>Store</t>
        </is>
      </c>
      <c r="M71" s="9">
        <f>TEXT(B71,"mmm-yyyy")</f>
        <v/>
      </c>
      <c r="N71" s="9">
        <f>DATEDIF(B71,TODAY(),"d")</f>
        <v/>
      </c>
      <c r="O71" s="10">
        <f>NOW()</f>
        <v/>
      </c>
    </row>
    <row r="72">
      <c r="A72" s="5" t="inlineStr">
        <is>
          <t>T0071</t>
        </is>
      </c>
      <c r="B72" s="6" t="n">
        <v>45960</v>
      </c>
      <c r="C72" s="5" t="inlineStr">
        <is>
          <t>C018</t>
        </is>
      </c>
      <c r="D72" s="5" t="inlineStr">
        <is>
          <t>Navya Desai</t>
        </is>
      </c>
      <c r="E72" s="5" t="inlineStr">
        <is>
          <t>East</t>
        </is>
      </c>
      <c r="F72" s="5" t="inlineStr">
        <is>
          <t>USB-C Hub</t>
        </is>
      </c>
      <c r="G72" s="5" t="inlineStr">
        <is>
          <t>Electronics</t>
        </is>
      </c>
      <c r="H72" s="5" t="n">
        <v>1</v>
      </c>
      <c r="I72" s="7" t="n">
        <v>1899</v>
      </c>
      <c r="J72" s="8">
        <f>H72*I72</f>
        <v/>
      </c>
      <c r="K72" s="5" t="inlineStr">
        <is>
          <t>Credit Card</t>
        </is>
      </c>
      <c r="L72" s="5" t="inlineStr">
        <is>
          <t>Mobile App</t>
        </is>
      </c>
      <c r="M72" s="9">
        <f>TEXT(B72,"mmm-yyyy")</f>
        <v/>
      </c>
      <c r="N72" s="9">
        <f>DATEDIF(B72,TODAY(),"d")</f>
        <v/>
      </c>
      <c r="O72" s="10">
        <f>NOW()</f>
        <v/>
      </c>
    </row>
    <row r="73">
      <c r="A73" s="5" t="inlineStr">
        <is>
          <t>T0072</t>
        </is>
      </c>
      <c r="B73" s="6" t="n">
        <v>46240</v>
      </c>
      <c r="C73" s="5" t="inlineStr">
        <is>
          <t>C010</t>
        </is>
      </c>
      <c r="D73" s="5" t="inlineStr">
        <is>
          <t>Sara Mehta</t>
        </is>
      </c>
      <c r="E73" s="5" t="inlineStr">
        <is>
          <t>West</t>
        </is>
      </c>
      <c r="F73" s="5" t="inlineStr">
        <is>
          <t>Backpack</t>
        </is>
      </c>
      <c r="G73" s="5" t="inlineStr">
        <is>
          <t>Lifestyle</t>
        </is>
      </c>
      <c r="H73" s="5" t="n">
        <v>2</v>
      </c>
      <c r="I73" s="7" t="n">
        <v>1499</v>
      </c>
      <c r="J73" s="8">
        <f>H73*I73</f>
        <v/>
      </c>
      <c r="K73" s="5" t="inlineStr">
        <is>
          <t>Debit Card</t>
        </is>
      </c>
      <c r="L73" s="5" t="inlineStr">
        <is>
          <t>Store</t>
        </is>
      </c>
      <c r="M73" s="9">
        <f>TEXT(B73,"mmm-yyyy")</f>
        <v/>
      </c>
      <c r="N73" s="9">
        <f>DATEDIF(B73,TODAY(),"d")</f>
        <v/>
      </c>
      <c r="O73" s="10">
        <f>NOW()</f>
        <v/>
      </c>
    </row>
    <row r="74">
      <c r="A74" s="5" t="inlineStr">
        <is>
          <t>T0073</t>
        </is>
      </c>
      <c r="B74" s="6" t="n">
        <v>45873</v>
      </c>
      <c r="C74" s="5" t="inlineStr">
        <is>
          <t>C014</t>
        </is>
      </c>
      <c r="D74" s="5" t="inlineStr">
        <is>
          <t>Aanya Parmar</t>
        </is>
      </c>
      <c r="E74" s="5" t="inlineStr">
        <is>
          <t>South</t>
        </is>
      </c>
      <c r="F74" s="5" t="inlineStr">
        <is>
          <t>Headphones</t>
        </is>
      </c>
      <c r="G74" s="5" t="inlineStr">
        <is>
          <t>Electronics</t>
        </is>
      </c>
      <c r="H74" s="5" t="n">
        <v>2</v>
      </c>
      <c r="I74" s="7" t="n">
        <v>2499</v>
      </c>
      <c r="J74" s="8">
        <f>H74*I74</f>
        <v/>
      </c>
      <c r="K74" s="5" t="inlineStr">
        <is>
          <t>Cash</t>
        </is>
      </c>
      <c r="L74" s="5" t="inlineStr">
        <is>
          <t>Store</t>
        </is>
      </c>
      <c r="M74" s="9">
        <f>TEXT(B74,"mmm-yyyy")</f>
        <v/>
      </c>
      <c r="N74" s="9">
        <f>DATEDIF(B74,TODAY(),"d")</f>
        <v/>
      </c>
      <c r="O74" s="10">
        <f>NOW()</f>
        <v/>
      </c>
    </row>
    <row r="75">
      <c r="A75" s="5" t="inlineStr">
        <is>
          <t>T0074</t>
        </is>
      </c>
      <c r="B75" s="6" t="n">
        <v>46110</v>
      </c>
      <c r="C75" s="5" t="inlineStr">
        <is>
          <t>C022</t>
        </is>
      </c>
      <c r="D75" s="5" t="inlineStr">
        <is>
          <t>Pari Patel</t>
        </is>
      </c>
      <c r="E75" s="5" t="inlineStr">
        <is>
          <t>North</t>
        </is>
      </c>
      <c r="F75" s="5" t="inlineStr">
        <is>
          <t>Notebook Pack</t>
        </is>
      </c>
      <c r="G75" s="5" t="inlineStr">
        <is>
          <t>Stationery</t>
        </is>
      </c>
      <c r="H75" s="5" t="n">
        <v>2</v>
      </c>
      <c r="I75" s="7" t="n">
        <v>249</v>
      </c>
      <c r="J75" s="8">
        <f>H75*I75</f>
        <v/>
      </c>
      <c r="K75" s="5" t="inlineStr">
        <is>
          <t>UPI</t>
        </is>
      </c>
      <c r="L75" s="5" t="inlineStr">
        <is>
          <t>Store</t>
        </is>
      </c>
      <c r="M75" s="9">
        <f>TEXT(B75,"mmm-yyyy")</f>
        <v/>
      </c>
      <c r="N75" s="9">
        <f>DATEDIF(B75,TODAY(),"d")</f>
        <v/>
      </c>
      <c r="O75" s="10">
        <f>NOW()</f>
        <v/>
      </c>
    </row>
    <row r="76">
      <c r="A76" s="5" t="inlineStr">
        <is>
          <t>T0075</t>
        </is>
      </c>
      <c r="B76" s="6" t="n">
        <v>46185</v>
      </c>
      <c r="C76" s="5" t="inlineStr">
        <is>
          <t>C022</t>
        </is>
      </c>
      <c r="D76" s="5" t="inlineStr">
        <is>
          <t>Pari Patel</t>
        </is>
      </c>
      <c r="E76" s="5" t="inlineStr">
        <is>
          <t>North</t>
        </is>
      </c>
      <c r="F76" s="5" t="inlineStr">
        <is>
          <t>Headphones</t>
        </is>
      </c>
      <c r="G76" s="5" t="inlineStr">
        <is>
          <t>Electronics</t>
        </is>
      </c>
      <c r="H76" s="5" t="n">
        <v>1</v>
      </c>
      <c r="I76" s="7" t="n">
        <v>2499</v>
      </c>
      <c r="J76" s="8">
        <f>H76*I76</f>
        <v/>
      </c>
      <c r="K76" s="5" t="inlineStr">
        <is>
          <t>Debit Card</t>
        </is>
      </c>
      <c r="L76" s="5" t="inlineStr">
        <is>
          <t>Online</t>
        </is>
      </c>
      <c r="M76" s="9">
        <f>TEXT(B76,"mmm-yyyy")</f>
        <v/>
      </c>
      <c r="N76" s="9">
        <f>DATEDIF(B76,TODAY(),"d")</f>
        <v/>
      </c>
      <c r="O76" s="10">
        <f>NOW()</f>
        <v/>
      </c>
    </row>
    <row r="77">
      <c r="A77" s="5" t="inlineStr">
        <is>
          <t>T0076</t>
        </is>
      </c>
      <c r="B77" s="6" t="n">
        <v>45861</v>
      </c>
      <c r="C77" s="5" t="inlineStr">
        <is>
          <t>C005</t>
        </is>
      </c>
      <c r="D77" s="5" t="inlineStr">
        <is>
          <t>Arjun Joshi</t>
        </is>
      </c>
      <c r="E77" s="5" t="inlineStr">
        <is>
          <t>East</t>
        </is>
      </c>
      <c r="F77" s="5" t="inlineStr">
        <is>
          <t>Wireless Mouse</t>
        </is>
      </c>
      <c r="G77" s="5" t="inlineStr">
        <is>
          <t>Electronics</t>
        </is>
      </c>
      <c r="H77" s="5" t="n">
        <v>1</v>
      </c>
      <c r="I77" s="7" t="n">
        <v>799</v>
      </c>
      <c r="J77" s="8">
        <f>H77*I77</f>
        <v/>
      </c>
      <c r="K77" s="5" t="inlineStr">
        <is>
          <t>Net Banking</t>
        </is>
      </c>
      <c r="L77" s="5" t="inlineStr">
        <is>
          <t>Online</t>
        </is>
      </c>
      <c r="M77" s="9">
        <f>TEXT(B77,"mmm-yyyy")</f>
        <v/>
      </c>
      <c r="N77" s="9">
        <f>DATEDIF(B77,TODAY(),"d")</f>
        <v/>
      </c>
      <c r="O77" s="10">
        <f>NOW()</f>
        <v/>
      </c>
    </row>
    <row r="78">
      <c r="A78" s="5" t="inlineStr">
        <is>
          <t>T0077</t>
        </is>
      </c>
      <c r="B78" s="6" t="n">
        <v>46124</v>
      </c>
      <c r="C78" s="5" t="inlineStr">
        <is>
          <t>C014</t>
        </is>
      </c>
      <c r="D78" s="5" t="inlineStr">
        <is>
          <t>Aanya Parmar</t>
        </is>
      </c>
      <c r="E78" s="5" t="inlineStr">
        <is>
          <t>East</t>
        </is>
      </c>
      <c r="F78" s="5" t="inlineStr">
        <is>
          <t>Headphones</t>
        </is>
      </c>
      <c r="G78" s="5" t="inlineStr">
        <is>
          <t>Electronics</t>
        </is>
      </c>
      <c r="H78" s="5" t="n">
        <v>1</v>
      </c>
      <c r="I78" s="7" t="n">
        <v>2499</v>
      </c>
      <c r="J78" s="8">
        <f>H78*I78</f>
        <v/>
      </c>
      <c r="K78" s="5" t="inlineStr">
        <is>
          <t>Cash</t>
        </is>
      </c>
      <c r="L78" s="5" t="inlineStr">
        <is>
          <t>Store</t>
        </is>
      </c>
      <c r="M78" s="9">
        <f>TEXT(B78,"mmm-yyyy")</f>
        <v/>
      </c>
      <c r="N78" s="9">
        <f>DATEDIF(B78,TODAY(),"d")</f>
        <v/>
      </c>
      <c r="O78" s="10">
        <f>NOW()</f>
        <v/>
      </c>
    </row>
    <row r="79">
      <c r="A79" s="5" t="inlineStr">
        <is>
          <t>T0078</t>
        </is>
      </c>
      <c r="B79" s="6" t="n">
        <v>45907</v>
      </c>
      <c r="C79" s="5" t="inlineStr">
        <is>
          <t>C005</t>
        </is>
      </c>
      <c r="D79" s="5" t="inlineStr">
        <is>
          <t>Arjun Joshi</t>
        </is>
      </c>
      <c r="E79" s="5" t="inlineStr">
        <is>
          <t>West</t>
        </is>
      </c>
      <c r="F79" s="5" t="inlineStr">
        <is>
          <t>Wireless Mouse</t>
        </is>
      </c>
      <c r="G79" s="5" t="inlineStr">
        <is>
          <t>Electronics</t>
        </is>
      </c>
      <c r="H79" s="5" t="n">
        <v>4</v>
      </c>
      <c r="I79" s="7" t="n">
        <v>799</v>
      </c>
      <c r="J79" s="8">
        <f>H79*I79</f>
        <v/>
      </c>
      <c r="K79" s="5" t="inlineStr">
        <is>
          <t>Cash</t>
        </is>
      </c>
      <c r="L79" s="5" t="inlineStr">
        <is>
          <t>Online</t>
        </is>
      </c>
      <c r="M79" s="9">
        <f>TEXT(B79,"mmm-yyyy")</f>
        <v/>
      </c>
      <c r="N79" s="9">
        <f>DATEDIF(B79,TODAY(),"d")</f>
        <v/>
      </c>
      <c r="O79" s="10">
        <f>NOW()</f>
        <v/>
      </c>
    </row>
    <row r="80">
      <c r="A80" s="5" t="inlineStr">
        <is>
          <t>T0079</t>
        </is>
      </c>
      <c r="B80" s="6" t="n">
        <v>45838</v>
      </c>
      <c r="C80" s="5" t="inlineStr">
        <is>
          <t>C026</t>
        </is>
      </c>
      <c r="D80" s="5" t="inlineStr">
        <is>
          <t>Mira Joshi</t>
        </is>
      </c>
      <c r="E80" s="5" t="inlineStr">
        <is>
          <t>Central</t>
        </is>
      </c>
      <c r="F80" s="5" t="inlineStr">
        <is>
          <t>Coffee Mug</t>
        </is>
      </c>
      <c r="G80" s="5" t="inlineStr">
        <is>
          <t>Home</t>
        </is>
      </c>
      <c r="H80" s="5" t="n">
        <v>2</v>
      </c>
      <c r="I80" s="7" t="n">
        <v>349</v>
      </c>
      <c r="J80" s="8">
        <f>H80*I80</f>
        <v/>
      </c>
      <c r="K80" s="5" t="inlineStr">
        <is>
          <t>Credit Card</t>
        </is>
      </c>
      <c r="L80" s="5" t="inlineStr">
        <is>
          <t>Online</t>
        </is>
      </c>
      <c r="M80" s="9">
        <f>TEXT(B80,"mmm-yyyy")</f>
        <v/>
      </c>
      <c r="N80" s="9">
        <f>DATEDIF(B80,TODAY(),"d")</f>
        <v/>
      </c>
      <c r="O80" s="10">
        <f>NOW()</f>
        <v/>
      </c>
    </row>
    <row r="81">
      <c r="A81" s="5" t="inlineStr">
        <is>
          <t>T0080</t>
        </is>
      </c>
      <c r="B81" s="6" t="n">
        <v>46125</v>
      </c>
      <c r="C81" s="5" t="inlineStr">
        <is>
          <t>C005</t>
        </is>
      </c>
      <c r="D81" s="5" t="inlineStr">
        <is>
          <t>Arjun Joshi</t>
        </is>
      </c>
      <c r="E81" s="5" t="inlineStr">
        <is>
          <t>Central</t>
        </is>
      </c>
      <c r="F81" s="5" t="inlineStr">
        <is>
          <t>Desk Lamp</t>
        </is>
      </c>
      <c r="G81" s="5" t="inlineStr">
        <is>
          <t>Home</t>
        </is>
      </c>
      <c r="H81" s="5" t="n">
        <v>3</v>
      </c>
      <c r="I81" s="7" t="n">
        <v>1099</v>
      </c>
      <c r="J81" s="8">
        <f>H81*I81</f>
        <v/>
      </c>
      <c r="K81" s="5" t="inlineStr">
        <is>
          <t>Net Banking</t>
        </is>
      </c>
      <c r="L81" s="5" t="inlineStr">
        <is>
          <t>Store</t>
        </is>
      </c>
      <c r="M81" s="9">
        <f>TEXT(B81,"mmm-yyyy")</f>
        <v/>
      </c>
      <c r="N81" s="9">
        <f>DATEDIF(B81,TODAY(),"d")</f>
        <v/>
      </c>
      <c r="O81" s="10">
        <f>NOW()</f>
        <v/>
      </c>
    </row>
    <row r="82">
      <c r="A82" s="5" t="inlineStr">
        <is>
          <t>T0081</t>
        </is>
      </c>
      <c r="B82" s="6" t="n">
        <v>46111</v>
      </c>
      <c r="C82" s="5" t="inlineStr">
        <is>
          <t>C020</t>
        </is>
      </c>
      <c r="D82" s="5" t="inlineStr">
        <is>
          <t>Riya Modi</t>
        </is>
      </c>
      <c r="E82" s="5" t="inlineStr">
        <is>
          <t>Central</t>
        </is>
      </c>
      <c r="F82" s="5" t="inlineStr">
        <is>
          <t>Coffee Mug</t>
        </is>
      </c>
      <c r="G82" s="5" t="inlineStr">
        <is>
          <t>Home</t>
        </is>
      </c>
      <c r="H82" s="5" t="n">
        <v>2</v>
      </c>
      <c r="I82" s="7" t="n">
        <v>349</v>
      </c>
      <c r="J82" s="8">
        <f>H82*I82</f>
        <v/>
      </c>
      <c r="K82" s="5" t="inlineStr">
        <is>
          <t>Cash</t>
        </is>
      </c>
      <c r="L82" s="5" t="inlineStr">
        <is>
          <t>Online</t>
        </is>
      </c>
      <c r="M82" s="9">
        <f>TEXT(B82,"mmm-yyyy")</f>
        <v/>
      </c>
      <c r="N82" s="9">
        <f>DATEDIF(B82,TODAY(),"d")</f>
        <v/>
      </c>
      <c r="O82" s="10">
        <f>NOW()</f>
        <v/>
      </c>
    </row>
    <row r="83">
      <c r="A83" s="5" t="inlineStr">
        <is>
          <t>T0082</t>
        </is>
      </c>
      <c r="B83" s="6" t="n">
        <v>46144</v>
      </c>
      <c r="C83" s="5" t="inlineStr">
        <is>
          <t>C015</t>
        </is>
      </c>
      <c r="D83" s="5" t="inlineStr">
        <is>
          <t>Dev Shah</t>
        </is>
      </c>
      <c r="E83" s="5" t="inlineStr">
        <is>
          <t>South</t>
        </is>
      </c>
      <c r="F83" s="5" t="inlineStr">
        <is>
          <t>Premium Pen</t>
        </is>
      </c>
      <c r="G83" s="5" t="inlineStr">
        <is>
          <t>Stationery</t>
        </is>
      </c>
      <c r="H83" s="5" t="n">
        <v>3</v>
      </c>
      <c r="I83" s="7" t="n">
        <v>399</v>
      </c>
      <c r="J83" s="8">
        <f>H83*I83</f>
        <v/>
      </c>
      <c r="K83" s="5" t="inlineStr">
        <is>
          <t>Net Banking</t>
        </is>
      </c>
      <c r="L83" s="5" t="inlineStr">
        <is>
          <t>Store</t>
        </is>
      </c>
      <c r="M83" s="9">
        <f>TEXT(B83,"mmm-yyyy")</f>
        <v/>
      </c>
      <c r="N83" s="9">
        <f>DATEDIF(B83,TODAY(),"d")</f>
        <v/>
      </c>
      <c r="O83" s="10">
        <f>NOW()</f>
        <v/>
      </c>
    </row>
    <row r="84">
      <c r="A84" s="5" t="inlineStr">
        <is>
          <t>T0083</t>
        </is>
      </c>
      <c r="B84" s="6" t="n">
        <v>46299</v>
      </c>
      <c r="C84" s="5" t="inlineStr">
        <is>
          <t>C008</t>
        </is>
      </c>
      <c r="D84" s="5" t="inlineStr">
        <is>
          <t>Myra Shah</t>
        </is>
      </c>
      <c r="E84" s="5" t="inlineStr">
        <is>
          <t>South</t>
        </is>
      </c>
      <c r="F84" s="5" t="inlineStr">
        <is>
          <t>Premium Pen</t>
        </is>
      </c>
      <c r="G84" s="5" t="inlineStr">
        <is>
          <t>Stationery</t>
        </is>
      </c>
      <c r="H84" s="5" t="n">
        <v>2</v>
      </c>
      <c r="I84" s="7" t="n">
        <v>399</v>
      </c>
      <c r="J84" s="8">
        <f>H84*I84</f>
        <v/>
      </c>
      <c r="K84" s="5" t="inlineStr">
        <is>
          <t>Credit Card</t>
        </is>
      </c>
      <c r="L84" s="5" t="inlineStr">
        <is>
          <t>Store</t>
        </is>
      </c>
      <c r="M84" s="9">
        <f>TEXT(B84,"mmm-yyyy")</f>
        <v/>
      </c>
      <c r="N84" s="9">
        <f>DATEDIF(B84,TODAY(),"d")</f>
        <v/>
      </c>
      <c r="O84" s="10">
        <f>NOW()</f>
        <v/>
      </c>
    </row>
    <row r="85">
      <c r="A85" s="5" t="inlineStr">
        <is>
          <t>T0084</t>
        </is>
      </c>
      <c r="B85" s="6" t="n">
        <v>46001</v>
      </c>
      <c r="C85" s="5" t="inlineStr">
        <is>
          <t>C011</t>
        </is>
      </c>
      <c r="D85" s="5" t="inlineStr">
        <is>
          <t>Krish Dave</t>
        </is>
      </c>
      <c r="E85" s="5" t="inlineStr">
        <is>
          <t>North</t>
        </is>
      </c>
      <c r="F85" s="5" t="inlineStr">
        <is>
          <t>Coffee Mug</t>
        </is>
      </c>
      <c r="G85" s="5" t="inlineStr">
        <is>
          <t>Home</t>
        </is>
      </c>
      <c r="H85" s="5" t="n">
        <v>1</v>
      </c>
      <c r="I85" s="7" t="n">
        <v>349</v>
      </c>
      <c r="J85" s="8">
        <f>H85*I85</f>
        <v/>
      </c>
      <c r="K85" s="5" t="inlineStr">
        <is>
          <t>Credit Card</t>
        </is>
      </c>
      <c r="L85" s="5" t="inlineStr">
        <is>
          <t>Store</t>
        </is>
      </c>
      <c r="M85" s="9">
        <f>TEXT(B85,"mmm-yyyy")</f>
        <v/>
      </c>
      <c r="N85" s="9">
        <f>DATEDIF(B85,TODAY(),"d")</f>
        <v/>
      </c>
      <c r="O85" s="10">
        <f>NOW()</f>
        <v/>
      </c>
    </row>
    <row r="86">
      <c r="A86" s="5" t="inlineStr">
        <is>
          <t>T0085</t>
        </is>
      </c>
      <c r="B86" s="6" t="n">
        <v>45814</v>
      </c>
      <c r="C86" s="5" t="inlineStr">
        <is>
          <t>C023</t>
        </is>
      </c>
      <c r="D86" s="5" t="inlineStr">
        <is>
          <t>Yash Mehta</t>
        </is>
      </c>
      <c r="E86" s="5" t="inlineStr">
        <is>
          <t>East</t>
        </is>
      </c>
      <c r="F86" s="5" t="inlineStr">
        <is>
          <t>Notebook Pack</t>
        </is>
      </c>
      <c r="G86" s="5" t="inlineStr">
        <is>
          <t>Stationery</t>
        </is>
      </c>
      <c r="H86" s="5" t="n">
        <v>1</v>
      </c>
      <c r="I86" s="7" t="n">
        <v>249</v>
      </c>
      <c r="J86" s="8">
        <f>H86*I86</f>
        <v/>
      </c>
      <c r="K86" s="5" t="inlineStr">
        <is>
          <t>Debit Card</t>
        </is>
      </c>
      <c r="L86" s="5" t="inlineStr">
        <is>
          <t>Mobile App</t>
        </is>
      </c>
      <c r="M86" s="9">
        <f>TEXT(B86,"mmm-yyyy")</f>
        <v/>
      </c>
      <c r="N86" s="9">
        <f>DATEDIF(B86,TODAY(),"d")</f>
        <v/>
      </c>
      <c r="O86" s="10">
        <f>NOW()</f>
        <v/>
      </c>
    </row>
    <row r="87">
      <c r="A87" s="5" t="inlineStr">
        <is>
          <t>T0086</t>
        </is>
      </c>
      <c r="B87" s="6" t="n">
        <v>46135</v>
      </c>
      <c r="C87" s="5" t="inlineStr">
        <is>
          <t>C014</t>
        </is>
      </c>
      <c r="D87" s="5" t="inlineStr">
        <is>
          <t>Aanya Parmar</t>
        </is>
      </c>
      <c r="E87" s="5" t="inlineStr">
        <is>
          <t>East</t>
        </is>
      </c>
      <c r="F87" s="5" t="inlineStr">
        <is>
          <t>Wireless Mouse</t>
        </is>
      </c>
      <c r="G87" s="5" t="inlineStr">
        <is>
          <t>Electronics</t>
        </is>
      </c>
      <c r="H87" s="5" t="n">
        <v>1</v>
      </c>
      <c r="I87" s="7" t="n">
        <v>799</v>
      </c>
      <c r="J87" s="8">
        <f>H87*I87</f>
        <v/>
      </c>
      <c r="K87" s="5" t="inlineStr">
        <is>
          <t>Cash</t>
        </is>
      </c>
      <c r="L87" s="5" t="inlineStr">
        <is>
          <t>Mobile App</t>
        </is>
      </c>
      <c r="M87" s="9">
        <f>TEXT(B87,"mmm-yyyy")</f>
        <v/>
      </c>
      <c r="N87" s="9">
        <f>DATEDIF(B87,TODAY(),"d")</f>
        <v/>
      </c>
      <c r="O87" s="10">
        <f>NOW()</f>
        <v/>
      </c>
    </row>
    <row r="88">
      <c r="A88" s="5" t="inlineStr">
        <is>
          <t>T0087</t>
        </is>
      </c>
      <c r="B88" s="6" t="n">
        <v>45678</v>
      </c>
      <c r="C88" s="5" t="inlineStr">
        <is>
          <t>C028</t>
        </is>
      </c>
      <c r="D88" s="5" t="inlineStr">
        <is>
          <t>Tara Shah</t>
        </is>
      </c>
      <c r="E88" s="5" t="inlineStr">
        <is>
          <t>West</t>
        </is>
      </c>
      <c r="F88" s="5" t="inlineStr">
        <is>
          <t>Headphones</t>
        </is>
      </c>
      <c r="G88" s="5" t="inlineStr">
        <is>
          <t>Electronics</t>
        </is>
      </c>
      <c r="H88" s="5" t="n">
        <v>2</v>
      </c>
      <c r="I88" s="7" t="n">
        <v>2499</v>
      </c>
      <c r="J88" s="8">
        <f>H88*I88</f>
        <v/>
      </c>
      <c r="K88" s="5" t="inlineStr">
        <is>
          <t>Debit Card</t>
        </is>
      </c>
      <c r="L88" s="5" t="inlineStr">
        <is>
          <t>Store</t>
        </is>
      </c>
      <c r="M88" s="9">
        <f>TEXT(B88,"mmm-yyyy")</f>
        <v/>
      </c>
      <c r="N88" s="9">
        <f>DATEDIF(B88,TODAY(),"d")</f>
        <v/>
      </c>
      <c r="O88" s="10">
        <f>NOW()</f>
        <v/>
      </c>
    </row>
    <row r="89">
      <c r="A89" s="5" t="inlineStr">
        <is>
          <t>T0088</t>
        </is>
      </c>
      <c r="B89" s="6" t="n">
        <v>46057</v>
      </c>
      <c r="C89" s="5" t="inlineStr">
        <is>
          <t>C028</t>
        </is>
      </c>
      <c r="D89" s="5" t="inlineStr">
        <is>
          <t>Tara Shah</t>
        </is>
      </c>
      <c r="E89" s="5" t="inlineStr">
        <is>
          <t>Central</t>
        </is>
      </c>
      <c r="F89" s="5" t="inlineStr">
        <is>
          <t>Backpack</t>
        </is>
      </c>
      <c r="G89" s="5" t="inlineStr">
        <is>
          <t>Lifestyle</t>
        </is>
      </c>
      <c r="H89" s="5" t="n">
        <v>2</v>
      </c>
      <c r="I89" s="7" t="n">
        <v>1499</v>
      </c>
      <c r="J89" s="8">
        <f>H89*I89</f>
        <v/>
      </c>
      <c r="K89" s="5" t="inlineStr">
        <is>
          <t>Net Banking</t>
        </is>
      </c>
      <c r="L89" s="5" t="inlineStr">
        <is>
          <t>Online</t>
        </is>
      </c>
      <c r="M89" s="9">
        <f>TEXT(B89,"mmm-yyyy")</f>
        <v/>
      </c>
      <c r="N89" s="9">
        <f>DATEDIF(B89,TODAY(),"d")</f>
        <v/>
      </c>
      <c r="O89" s="10">
        <f>NOW()</f>
        <v/>
      </c>
    </row>
    <row r="90">
      <c r="A90" s="5" t="inlineStr">
        <is>
          <t>T0089</t>
        </is>
      </c>
      <c r="B90" s="6" t="n">
        <v>46157</v>
      </c>
      <c r="C90" s="5" t="inlineStr">
        <is>
          <t>C008</t>
        </is>
      </c>
      <c r="D90" s="5" t="inlineStr">
        <is>
          <t>Myra Shah</t>
        </is>
      </c>
      <c r="E90" s="5" t="inlineStr">
        <is>
          <t>West</t>
        </is>
      </c>
      <c r="F90" s="5" t="inlineStr">
        <is>
          <t>Premium Pen</t>
        </is>
      </c>
      <c r="G90" s="5" t="inlineStr">
        <is>
          <t>Stationery</t>
        </is>
      </c>
      <c r="H90" s="5" t="n">
        <v>2</v>
      </c>
      <c r="I90" s="7" t="n">
        <v>399</v>
      </c>
      <c r="J90" s="8">
        <f>H90*I90</f>
        <v/>
      </c>
      <c r="K90" s="5" t="inlineStr">
        <is>
          <t>Cash</t>
        </is>
      </c>
      <c r="L90" s="5" t="inlineStr">
        <is>
          <t>Store</t>
        </is>
      </c>
      <c r="M90" s="9">
        <f>TEXT(B90,"mmm-yyyy")</f>
        <v/>
      </c>
      <c r="N90" s="9">
        <f>DATEDIF(B90,TODAY(),"d")</f>
        <v/>
      </c>
      <c r="O90" s="10">
        <f>NOW()</f>
        <v/>
      </c>
    </row>
    <row r="91">
      <c r="A91" s="5" t="inlineStr">
        <is>
          <t>T0090</t>
        </is>
      </c>
      <c r="B91" s="6" t="n">
        <v>46072</v>
      </c>
      <c r="C91" s="5" t="inlineStr">
        <is>
          <t>C024</t>
        </is>
      </c>
      <c r="D91" s="5" t="inlineStr">
        <is>
          <t>Saanvi Dave</t>
        </is>
      </c>
      <c r="E91" s="5" t="inlineStr">
        <is>
          <t>North</t>
        </is>
      </c>
      <c r="F91" s="5" t="inlineStr">
        <is>
          <t>USB-C Hub</t>
        </is>
      </c>
      <c r="G91" s="5" t="inlineStr">
        <is>
          <t>Electronics</t>
        </is>
      </c>
      <c r="H91" s="5" t="n">
        <v>4</v>
      </c>
      <c r="I91" s="7" t="n">
        <v>1899</v>
      </c>
      <c r="J91" s="8">
        <f>H91*I91</f>
        <v/>
      </c>
      <c r="K91" s="5" t="inlineStr">
        <is>
          <t>Net Banking</t>
        </is>
      </c>
      <c r="L91" s="5" t="inlineStr">
        <is>
          <t>Mobile App</t>
        </is>
      </c>
      <c r="M91" s="9">
        <f>TEXT(B91,"mmm-yyyy")</f>
        <v/>
      </c>
      <c r="N91" s="9">
        <f>DATEDIF(B91,TODAY(),"d")</f>
        <v/>
      </c>
      <c r="O91" s="10">
        <f>NOW()</f>
        <v/>
      </c>
    </row>
    <row r="92">
      <c r="A92" s="5" t="inlineStr">
        <is>
          <t>T0091</t>
        </is>
      </c>
      <c r="B92" s="6" t="n">
        <v>45685</v>
      </c>
      <c r="C92" s="5" t="inlineStr">
        <is>
          <t>C030</t>
        </is>
      </c>
      <c r="D92" s="5" t="inlineStr">
        <is>
          <t>Zoya Mehta</t>
        </is>
      </c>
      <c r="E92" s="5" t="inlineStr">
        <is>
          <t>West</t>
        </is>
      </c>
      <c r="F92" s="5" t="inlineStr">
        <is>
          <t>Backpack</t>
        </is>
      </c>
      <c r="G92" s="5" t="inlineStr">
        <is>
          <t>Lifestyle</t>
        </is>
      </c>
      <c r="H92" s="5" t="n">
        <v>2</v>
      </c>
      <c r="I92" s="7" t="n">
        <v>1499</v>
      </c>
      <c r="J92" s="8">
        <f>H92*I92</f>
        <v/>
      </c>
      <c r="K92" s="5" t="inlineStr">
        <is>
          <t>UPI</t>
        </is>
      </c>
      <c r="L92" s="5" t="inlineStr">
        <is>
          <t>Mobile App</t>
        </is>
      </c>
      <c r="M92" s="9">
        <f>TEXT(B92,"mmm-yyyy")</f>
        <v/>
      </c>
      <c r="N92" s="9">
        <f>DATEDIF(B92,TODAY(),"d")</f>
        <v/>
      </c>
      <c r="O92" s="10">
        <f>NOW()</f>
        <v/>
      </c>
    </row>
    <row r="93">
      <c r="A93" s="5" t="inlineStr">
        <is>
          <t>T0092</t>
        </is>
      </c>
      <c r="B93" s="6" t="n">
        <v>46096</v>
      </c>
      <c r="C93" s="5" t="inlineStr">
        <is>
          <t>C005</t>
        </is>
      </c>
      <c r="D93" s="5" t="inlineStr">
        <is>
          <t>Arjun Joshi</t>
        </is>
      </c>
      <c r="E93" s="5" t="inlineStr">
        <is>
          <t>South</t>
        </is>
      </c>
      <c r="F93" s="5" t="inlineStr">
        <is>
          <t>Desk Lamp</t>
        </is>
      </c>
      <c r="G93" s="5" t="inlineStr">
        <is>
          <t>Home</t>
        </is>
      </c>
      <c r="H93" s="5" t="n">
        <v>1</v>
      </c>
      <c r="I93" s="7" t="n">
        <v>1099</v>
      </c>
      <c r="J93" s="8">
        <f>H93*I93</f>
        <v/>
      </c>
      <c r="K93" s="5" t="inlineStr">
        <is>
          <t>Cash</t>
        </is>
      </c>
      <c r="L93" s="5" t="inlineStr">
        <is>
          <t>Store</t>
        </is>
      </c>
      <c r="M93" s="9">
        <f>TEXT(B93,"mmm-yyyy")</f>
        <v/>
      </c>
      <c r="N93" s="9">
        <f>DATEDIF(B93,TODAY(),"d")</f>
        <v/>
      </c>
      <c r="O93" s="10">
        <f>NOW()</f>
        <v/>
      </c>
    </row>
    <row r="94">
      <c r="A94" s="5" t="inlineStr">
        <is>
          <t>T0093</t>
        </is>
      </c>
      <c r="B94" s="6" t="n">
        <v>45874</v>
      </c>
      <c r="C94" s="5" t="inlineStr">
        <is>
          <t>C015</t>
        </is>
      </c>
      <c r="D94" s="5" t="inlineStr">
        <is>
          <t>Dev Shah</t>
        </is>
      </c>
      <c r="E94" s="5" t="inlineStr">
        <is>
          <t>East</t>
        </is>
      </c>
      <c r="F94" s="5" t="inlineStr">
        <is>
          <t>Water Bottle</t>
        </is>
      </c>
      <c r="G94" s="5" t="inlineStr">
        <is>
          <t>Lifestyle</t>
        </is>
      </c>
      <c r="H94" s="5" t="n">
        <v>1</v>
      </c>
      <c r="I94" s="7" t="n">
        <v>599</v>
      </c>
      <c r="J94" s="8">
        <f>H94*I94</f>
        <v/>
      </c>
      <c r="K94" s="5" t="inlineStr">
        <is>
          <t>Debit Card</t>
        </is>
      </c>
      <c r="L94" s="5" t="inlineStr">
        <is>
          <t>Store</t>
        </is>
      </c>
      <c r="M94" s="9">
        <f>TEXT(B94,"mmm-yyyy")</f>
        <v/>
      </c>
      <c r="N94" s="9">
        <f>DATEDIF(B94,TODAY(),"d")</f>
        <v/>
      </c>
      <c r="O94" s="10">
        <f>NOW()</f>
        <v/>
      </c>
    </row>
    <row r="95">
      <c r="A95" s="5" t="inlineStr">
        <is>
          <t>T0094</t>
        </is>
      </c>
      <c r="B95" s="6" t="n">
        <v>45916</v>
      </c>
      <c r="C95" s="5" t="inlineStr">
        <is>
          <t>C027</t>
        </is>
      </c>
      <c r="D95" s="5" t="inlineStr">
        <is>
          <t>Ayaan Desai</t>
        </is>
      </c>
      <c r="E95" s="5" t="inlineStr">
        <is>
          <t>Central</t>
        </is>
      </c>
      <c r="F95" s="5" t="inlineStr">
        <is>
          <t>Keyboard</t>
        </is>
      </c>
      <c r="G95" s="5" t="inlineStr">
        <is>
          <t>Electronics</t>
        </is>
      </c>
      <c r="H95" s="5" t="n">
        <v>2</v>
      </c>
      <c r="I95" s="7" t="n">
        <v>1299</v>
      </c>
      <c r="J95" s="8">
        <f>H95*I95</f>
        <v/>
      </c>
      <c r="K95" s="5" t="inlineStr">
        <is>
          <t>UPI</t>
        </is>
      </c>
      <c r="L95" s="5" t="inlineStr">
        <is>
          <t>Store</t>
        </is>
      </c>
      <c r="M95" s="9">
        <f>TEXT(B95,"mmm-yyyy")</f>
        <v/>
      </c>
      <c r="N95" s="9">
        <f>DATEDIF(B95,TODAY(),"d")</f>
        <v/>
      </c>
      <c r="O95" s="10">
        <f>NOW()</f>
        <v/>
      </c>
    </row>
    <row r="96">
      <c r="A96" s="5" t="inlineStr">
        <is>
          <t>T0095</t>
        </is>
      </c>
      <c r="B96" s="6" t="n">
        <v>45887</v>
      </c>
      <c r="C96" s="5" t="inlineStr">
        <is>
          <t>C021</t>
        </is>
      </c>
      <c r="D96" s="5" t="inlineStr">
        <is>
          <t>Manav Shah</t>
        </is>
      </c>
      <c r="E96" s="5" t="inlineStr">
        <is>
          <t>West</t>
        </is>
      </c>
      <c r="F96" s="5" t="inlineStr">
        <is>
          <t>Keyboard</t>
        </is>
      </c>
      <c r="G96" s="5" t="inlineStr">
        <is>
          <t>Electronics</t>
        </is>
      </c>
      <c r="H96" s="5" t="n">
        <v>3</v>
      </c>
      <c r="I96" s="7" t="n">
        <v>1299</v>
      </c>
      <c r="J96" s="8">
        <f>H96*I96</f>
        <v/>
      </c>
      <c r="K96" s="5" t="inlineStr">
        <is>
          <t>UPI</t>
        </is>
      </c>
      <c r="L96" s="5" t="inlineStr">
        <is>
          <t>Online</t>
        </is>
      </c>
      <c r="M96" s="9">
        <f>TEXT(B96,"mmm-yyyy")</f>
        <v/>
      </c>
      <c r="N96" s="9">
        <f>DATEDIF(B96,TODAY(),"d")</f>
        <v/>
      </c>
      <c r="O96" s="10">
        <f>NOW()</f>
        <v/>
      </c>
    </row>
    <row r="97">
      <c r="A97" s="5" t="inlineStr">
        <is>
          <t>T0096</t>
        </is>
      </c>
      <c r="B97" s="6" t="n">
        <v>45862</v>
      </c>
      <c r="C97" s="5" t="inlineStr">
        <is>
          <t>C027</t>
        </is>
      </c>
      <c r="D97" s="5" t="inlineStr">
        <is>
          <t>Ayaan Desai</t>
        </is>
      </c>
      <c r="E97" s="5" t="inlineStr">
        <is>
          <t>North</t>
        </is>
      </c>
      <c r="F97" s="5" t="inlineStr">
        <is>
          <t>Wireless Mouse</t>
        </is>
      </c>
      <c r="G97" s="5" t="inlineStr">
        <is>
          <t>Electronics</t>
        </is>
      </c>
      <c r="H97" s="5" t="n">
        <v>2</v>
      </c>
      <c r="I97" s="7" t="n">
        <v>799</v>
      </c>
      <c r="J97" s="8">
        <f>H97*I97</f>
        <v/>
      </c>
      <c r="K97" s="5" t="inlineStr">
        <is>
          <t>Credit Card</t>
        </is>
      </c>
      <c r="L97" s="5" t="inlineStr">
        <is>
          <t>Store</t>
        </is>
      </c>
      <c r="M97" s="9">
        <f>TEXT(B97,"mmm-yyyy")</f>
        <v/>
      </c>
      <c r="N97" s="9">
        <f>DATEDIF(B97,TODAY(),"d")</f>
        <v/>
      </c>
      <c r="O97" s="10">
        <f>NOW()</f>
        <v/>
      </c>
    </row>
    <row r="98">
      <c r="A98" s="5" t="inlineStr">
        <is>
          <t>T0097</t>
        </is>
      </c>
      <c r="B98" s="6" t="n">
        <v>45775</v>
      </c>
      <c r="C98" s="5" t="inlineStr">
        <is>
          <t>C019</t>
        </is>
      </c>
      <c r="D98" s="5" t="inlineStr">
        <is>
          <t>Dhruv Joshi</t>
        </is>
      </c>
      <c r="E98" s="5" t="inlineStr">
        <is>
          <t>South</t>
        </is>
      </c>
      <c r="F98" s="5" t="inlineStr">
        <is>
          <t>Notebook Pack</t>
        </is>
      </c>
      <c r="G98" s="5" t="inlineStr">
        <is>
          <t>Stationery</t>
        </is>
      </c>
      <c r="H98" s="5" t="n">
        <v>2</v>
      </c>
      <c r="I98" s="7" t="n">
        <v>249</v>
      </c>
      <c r="J98" s="8">
        <f>H98*I98</f>
        <v/>
      </c>
      <c r="K98" s="5" t="inlineStr">
        <is>
          <t>Debit Card</t>
        </is>
      </c>
      <c r="L98" s="5" t="inlineStr">
        <is>
          <t>Online</t>
        </is>
      </c>
      <c r="M98" s="9">
        <f>TEXT(B98,"mmm-yyyy")</f>
        <v/>
      </c>
      <c r="N98" s="9">
        <f>DATEDIF(B98,TODAY(),"d")</f>
        <v/>
      </c>
      <c r="O98" s="10">
        <f>NOW()</f>
        <v/>
      </c>
    </row>
    <row r="99">
      <c r="A99" s="5" t="inlineStr">
        <is>
          <t>T0098</t>
        </is>
      </c>
      <c r="B99" s="6" t="n">
        <v>46278</v>
      </c>
      <c r="C99" s="5" t="inlineStr">
        <is>
          <t>C020</t>
        </is>
      </c>
      <c r="D99" s="5" t="inlineStr">
        <is>
          <t>Riya Modi</t>
        </is>
      </c>
      <c r="E99" s="5" t="inlineStr">
        <is>
          <t>North</t>
        </is>
      </c>
      <c r="F99" s="5" t="inlineStr">
        <is>
          <t>Keyboard</t>
        </is>
      </c>
      <c r="G99" s="5" t="inlineStr">
        <is>
          <t>Electronics</t>
        </is>
      </c>
      <c r="H99" s="5" t="n">
        <v>3</v>
      </c>
      <c r="I99" s="7" t="n">
        <v>1299</v>
      </c>
      <c r="J99" s="8">
        <f>H99*I99</f>
        <v/>
      </c>
      <c r="K99" s="5" t="inlineStr">
        <is>
          <t>Debit Card</t>
        </is>
      </c>
      <c r="L99" s="5" t="inlineStr">
        <is>
          <t>Online</t>
        </is>
      </c>
      <c r="M99" s="9">
        <f>TEXT(B99,"mmm-yyyy")</f>
        <v/>
      </c>
      <c r="N99" s="9">
        <f>DATEDIF(B99,TODAY(),"d")</f>
        <v/>
      </c>
      <c r="O99" s="10">
        <f>NOW()</f>
        <v/>
      </c>
    </row>
    <row r="100">
      <c r="A100" s="5" t="inlineStr">
        <is>
          <t>T0099</t>
        </is>
      </c>
      <c r="B100" s="6" t="n">
        <v>46250</v>
      </c>
      <c r="C100" s="5" t="inlineStr">
        <is>
          <t>C001</t>
        </is>
      </c>
      <c r="D100" s="5" t="inlineStr">
        <is>
          <t>Aarav Patel</t>
        </is>
      </c>
      <c r="E100" s="5" t="inlineStr">
        <is>
          <t>East</t>
        </is>
      </c>
      <c r="F100" s="5" t="inlineStr">
        <is>
          <t>Premium Pen</t>
        </is>
      </c>
      <c r="G100" s="5" t="inlineStr">
        <is>
          <t>Stationery</t>
        </is>
      </c>
      <c r="H100" s="5" t="n">
        <v>2</v>
      </c>
      <c r="I100" s="7" t="n">
        <v>399</v>
      </c>
      <c r="J100" s="8">
        <f>H100*I100</f>
        <v/>
      </c>
      <c r="K100" s="5" t="inlineStr">
        <is>
          <t>Cash</t>
        </is>
      </c>
      <c r="L100" s="5" t="inlineStr">
        <is>
          <t>Mobile App</t>
        </is>
      </c>
      <c r="M100" s="9">
        <f>TEXT(B100,"mmm-yyyy")</f>
        <v/>
      </c>
      <c r="N100" s="9">
        <f>DATEDIF(B100,TODAY(),"d")</f>
        <v/>
      </c>
      <c r="O100" s="10">
        <f>NOW()</f>
        <v/>
      </c>
    </row>
    <row r="101">
      <c r="A101" s="5" t="inlineStr">
        <is>
          <t>T0100</t>
        </is>
      </c>
      <c r="B101" s="6" t="n">
        <v>45861</v>
      </c>
      <c r="C101" s="5" t="inlineStr">
        <is>
          <t>C003</t>
        </is>
      </c>
      <c r="D101" s="5" t="inlineStr">
        <is>
          <t>Vivaan Mehta</t>
        </is>
      </c>
      <c r="E101" s="5" t="inlineStr">
        <is>
          <t>North</t>
        </is>
      </c>
      <c r="F101" s="5" t="inlineStr">
        <is>
          <t>Headphones</t>
        </is>
      </c>
      <c r="G101" s="5" t="inlineStr">
        <is>
          <t>Electronics</t>
        </is>
      </c>
      <c r="H101" s="5" t="n">
        <v>3</v>
      </c>
      <c r="I101" s="7" t="n">
        <v>2499</v>
      </c>
      <c r="J101" s="8">
        <f>H101*I101</f>
        <v/>
      </c>
      <c r="K101" s="5" t="inlineStr">
        <is>
          <t>UPI</t>
        </is>
      </c>
      <c r="L101" s="5" t="inlineStr">
        <is>
          <t>Mobile App</t>
        </is>
      </c>
      <c r="M101" s="9">
        <f>TEXT(B101,"mmm-yyyy")</f>
        <v/>
      </c>
      <c r="N101" s="9">
        <f>DATEDIF(B101,TODAY(),"d")</f>
        <v/>
      </c>
      <c r="O101" s="10">
        <f>NOW()</f>
        <v/>
      </c>
    </row>
    <row r="102">
      <c r="A102" s="5" t="inlineStr">
        <is>
          <t>T0101</t>
        </is>
      </c>
      <c r="B102" s="6" t="n">
        <v>45966</v>
      </c>
      <c r="C102" s="5" t="inlineStr">
        <is>
          <t>C028</t>
        </is>
      </c>
      <c r="D102" s="5" t="inlineStr">
        <is>
          <t>Tara Shah</t>
        </is>
      </c>
      <c r="E102" s="5" t="inlineStr">
        <is>
          <t>Central</t>
        </is>
      </c>
      <c r="F102" s="5" t="inlineStr">
        <is>
          <t>Headphones</t>
        </is>
      </c>
      <c r="G102" s="5" t="inlineStr">
        <is>
          <t>Electronics</t>
        </is>
      </c>
      <c r="H102" s="5" t="n">
        <v>3</v>
      </c>
      <c r="I102" s="7" t="n">
        <v>2499</v>
      </c>
      <c r="J102" s="8">
        <f>H102*I102</f>
        <v/>
      </c>
      <c r="K102" s="5" t="inlineStr">
        <is>
          <t>UPI</t>
        </is>
      </c>
      <c r="L102" s="5" t="inlineStr">
        <is>
          <t>Store</t>
        </is>
      </c>
      <c r="M102" s="9">
        <f>TEXT(B102,"mmm-yyyy")</f>
        <v/>
      </c>
      <c r="N102" s="9">
        <f>DATEDIF(B102,TODAY(),"d")</f>
        <v/>
      </c>
      <c r="O102" s="10">
        <f>NOW()</f>
        <v/>
      </c>
    </row>
    <row r="103">
      <c r="A103" s="5" t="inlineStr">
        <is>
          <t>T0102</t>
        </is>
      </c>
      <c r="B103" s="6" t="n">
        <v>46203</v>
      </c>
      <c r="C103" s="5" t="inlineStr">
        <is>
          <t>C014</t>
        </is>
      </c>
      <c r="D103" s="5" t="inlineStr">
        <is>
          <t>Aanya Parmar</t>
        </is>
      </c>
      <c r="E103" s="5" t="inlineStr">
        <is>
          <t>South</t>
        </is>
      </c>
      <c r="F103" s="5" t="inlineStr">
        <is>
          <t>Water Bottle</t>
        </is>
      </c>
      <c r="G103" s="5" t="inlineStr">
        <is>
          <t>Lifestyle</t>
        </is>
      </c>
      <c r="H103" s="5" t="n">
        <v>1</v>
      </c>
      <c r="I103" s="7" t="n">
        <v>599</v>
      </c>
      <c r="J103" s="8">
        <f>H103*I103</f>
        <v/>
      </c>
      <c r="K103" s="5" t="inlineStr">
        <is>
          <t>UPI</t>
        </is>
      </c>
      <c r="L103" s="5" t="inlineStr">
        <is>
          <t>Store</t>
        </is>
      </c>
      <c r="M103" s="9">
        <f>TEXT(B103,"mmm-yyyy")</f>
        <v/>
      </c>
      <c r="N103" s="9">
        <f>DATEDIF(B103,TODAY(),"d")</f>
        <v/>
      </c>
      <c r="O103" s="10">
        <f>NOW()</f>
        <v/>
      </c>
    </row>
    <row r="104">
      <c r="A104" s="5" t="inlineStr">
        <is>
          <t>T0103</t>
        </is>
      </c>
      <c r="B104" s="6" t="n">
        <v>46159</v>
      </c>
      <c r="C104" s="5" t="inlineStr">
        <is>
          <t>C004</t>
        </is>
      </c>
      <c r="D104" s="5" t="inlineStr">
        <is>
          <t>Anaya Desai</t>
        </is>
      </c>
      <c r="E104" s="5" t="inlineStr">
        <is>
          <t>East</t>
        </is>
      </c>
      <c r="F104" s="5" t="inlineStr">
        <is>
          <t>Backpack</t>
        </is>
      </c>
      <c r="G104" s="5" t="inlineStr">
        <is>
          <t>Lifestyle</t>
        </is>
      </c>
      <c r="H104" s="5" t="n">
        <v>5</v>
      </c>
      <c r="I104" s="7" t="n">
        <v>1499</v>
      </c>
      <c r="J104" s="8">
        <f>H104*I104</f>
        <v/>
      </c>
      <c r="K104" s="5" t="inlineStr">
        <is>
          <t>Credit Card</t>
        </is>
      </c>
      <c r="L104" s="5" t="inlineStr">
        <is>
          <t>Store</t>
        </is>
      </c>
      <c r="M104" s="9">
        <f>TEXT(B104,"mmm-yyyy")</f>
        <v/>
      </c>
      <c r="N104" s="9">
        <f>DATEDIF(B104,TODAY(),"d")</f>
        <v/>
      </c>
      <c r="O104" s="10">
        <f>NOW()</f>
        <v/>
      </c>
    </row>
    <row r="105">
      <c r="A105" s="5" t="inlineStr">
        <is>
          <t>T0104</t>
        </is>
      </c>
      <c r="B105" s="6" t="n">
        <v>45838</v>
      </c>
      <c r="C105" s="5" t="inlineStr">
        <is>
          <t>C024</t>
        </is>
      </c>
      <c r="D105" s="5" t="inlineStr">
        <is>
          <t>Saanvi Dave</t>
        </is>
      </c>
      <c r="E105" s="5" t="inlineStr">
        <is>
          <t>South</t>
        </is>
      </c>
      <c r="F105" s="5" t="inlineStr">
        <is>
          <t>Coffee Mug</t>
        </is>
      </c>
      <c r="G105" s="5" t="inlineStr">
        <is>
          <t>Home</t>
        </is>
      </c>
      <c r="H105" s="5" t="n">
        <v>5</v>
      </c>
      <c r="I105" s="7" t="n">
        <v>349</v>
      </c>
      <c r="J105" s="8">
        <f>H105*I105</f>
        <v/>
      </c>
      <c r="K105" s="5" t="inlineStr">
        <is>
          <t>Net Banking</t>
        </is>
      </c>
      <c r="L105" s="5" t="inlineStr">
        <is>
          <t>Mobile App</t>
        </is>
      </c>
      <c r="M105" s="9">
        <f>TEXT(B105,"mmm-yyyy")</f>
        <v/>
      </c>
      <c r="N105" s="9">
        <f>DATEDIF(B105,TODAY(),"d")</f>
        <v/>
      </c>
      <c r="O105" s="10">
        <f>NOW()</f>
        <v/>
      </c>
    </row>
    <row r="106">
      <c r="A106" s="5" t="inlineStr">
        <is>
          <t>T0105</t>
        </is>
      </c>
      <c r="B106" s="6" t="n">
        <v>46153</v>
      </c>
      <c r="C106" s="5" t="inlineStr">
        <is>
          <t>C015</t>
        </is>
      </c>
      <c r="D106" s="5" t="inlineStr">
        <is>
          <t>Dev Shah</t>
        </is>
      </c>
      <c r="E106" s="5" t="inlineStr">
        <is>
          <t>Central</t>
        </is>
      </c>
      <c r="F106" s="5" t="inlineStr">
        <is>
          <t>Backpack</t>
        </is>
      </c>
      <c r="G106" s="5" t="inlineStr">
        <is>
          <t>Lifestyle</t>
        </is>
      </c>
      <c r="H106" s="5" t="n">
        <v>4</v>
      </c>
      <c r="I106" s="7" t="n">
        <v>1499</v>
      </c>
      <c r="J106" s="8">
        <f>H106*I106</f>
        <v/>
      </c>
      <c r="K106" s="5" t="inlineStr">
        <is>
          <t>Debit Card</t>
        </is>
      </c>
      <c r="L106" s="5" t="inlineStr">
        <is>
          <t>Store</t>
        </is>
      </c>
      <c r="M106" s="9">
        <f>TEXT(B106,"mmm-yyyy")</f>
        <v/>
      </c>
      <c r="N106" s="9">
        <f>DATEDIF(B106,TODAY(),"d")</f>
        <v/>
      </c>
      <c r="O106" s="10">
        <f>NOW()</f>
        <v/>
      </c>
    </row>
    <row r="107">
      <c r="A107" s="5" t="inlineStr">
        <is>
          <t>T0106</t>
        </is>
      </c>
      <c r="B107" s="6" t="n">
        <v>45909</v>
      </c>
      <c r="C107" s="5" t="inlineStr">
        <is>
          <t>C027</t>
        </is>
      </c>
      <c r="D107" s="5" t="inlineStr">
        <is>
          <t>Ayaan Desai</t>
        </is>
      </c>
      <c r="E107" s="5" t="inlineStr">
        <is>
          <t>East</t>
        </is>
      </c>
      <c r="F107" s="5" t="inlineStr">
        <is>
          <t>Keyboard</t>
        </is>
      </c>
      <c r="G107" s="5" t="inlineStr">
        <is>
          <t>Electronics</t>
        </is>
      </c>
      <c r="H107" s="5" t="n">
        <v>1</v>
      </c>
      <c r="I107" s="7" t="n">
        <v>1299</v>
      </c>
      <c r="J107" s="8">
        <f>H107*I107</f>
        <v/>
      </c>
      <c r="K107" s="5" t="inlineStr">
        <is>
          <t>Credit Card</t>
        </is>
      </c>
      <c r="L107" s="5" t="inlineStr">
        <is>
          <t>Store</t>
        </is>
      </c>
      <c r="M107" s="9">
        <f>TEXT(B107,"mmm-yyyy")</f>
        <v/>
      </c>
      <c r="N107" s="9">
        <f>DATEDIF(B107,TODAY(),"d")</f>
        <v/>
      </c>
      <c r="O107" s="10">
        <f>NOW()</f>
        <v/>
      </c>
    </row>
    <row r="108">
      <c r="A108" s="5" t="inlineStr">
        <is>
          <t>T0107</t>
        </is>
      </c>
      <c r="B108" s="6" t="n">
        <v>46241</v>
      </c>
      <c r="C108" s="5" t="inlineStr">
        <is>
          <t>C020</t>
        </is>
      </c>
      <c r="D108" s="5" t="inlineStr">
        <is>
          <t>Riya Modi</t>
        </is>
      </c>
      <c r="E108" s="5" t="inlineStr">
        <is>
          <t>East</t>
        </is>
      </c>
      <c r="F108" s="5" t="inlineStr">
        <is>
          <t>Backpack</t>
        </is>
      </c>
      <c r="G108" s="5" t="inlineStr">
        <is>
          <t>Lifestyle</t>
        </is>
      </c>
      <c r="H108" s="5" t="n">
        <v>1</v>
      </c>
      <c r="I108" s="7" t="n">
        <v>1499</v>
      </c>
      <c r="J108" s="8">
        <f>H108*I108</f>
        <v/>
      </c>
      <c r="K108" s="5" t="inlineStr">
        <is>
          <t>Debit Card</t>
        </is>
      </c>
      <c r="L108" s="5" t="inlineStr">
        <is>
          <t>Online</t>
        </is>
      </c>
      <c r="M108" s="9">
        <f>TEXT(B108,"mmm-yyyy")</f>
        <v/>
      </c>
      <c r="N108" s="9">
        <f>DATEDIF(B108,TODAY(),"d")</f>
        <v/>
      </c>
      <c r="O108" s="10">
        <f>NOW()</f>
        <v/>
      </c>
    </row>
    <row r="109">
      <c r="A109" s="5" t="inlineStr">
        <is>
          <t>T0108</t>
        </is>
      </c>
      <c r="B109" s="6" t="n">
        <v>46157</v>
      </c>
      <c r="C109" s="5" t="inlineStr">
        <is>
          <t>C007</t>
        </is>
      </c>
      <c r="D109" s="5" t="inlineStr">
        <is>
          <t>Reyansh Modi</t>
        </is>
      </c>
      <c r="E109" s="5" t="inlineStr">
        <is>
          <t>South</t>
        </is>
      </c>
      <c r="F109" s="5" t="inlineStr">
        <is>
          <t>Water Bottle</t>
        </is>
      </c>
      <c r="G109" s="5" t="inlineStr">
        <is>
          <t>Lifestyle</t>
        </is>
      </c>
      <c r="H109" s="5" t="n">
        <v>3</v>
      </c>
      <c r="I109" s="7" t="n">
        <v>599</v>
      </c>
      <c r="J109" s="8">
        <f>H109*I109</f>
        <v/>
      </c>
      <c r="K109" s="5" t="inlineStr">
        <is>
          <t>Debit Card</t>
        </is>
      </c>
      <c r="L109" s="5" t="inlineStr">
        <is>
          <t>Mobile App</t>
        </is>
      </c>
      <c r="M109" s="9">
        <f>TEXT(B109,"mmm-yyyy")</f>
        <v/>
      </c>
      <c r="N109" s="9">
        <f>DATEDIF(B109,TODAY(),"d")</f>
        <v/>
      </c>
      <c r="O109" s="10">
        <f>NOW()</f>
        <v/>
      </c>
    </row>
    <row r="110">
      <c r="A110" s="5" t="inlineStr">
        <is>
          <t>T0109</t>
        </is>
      </c>
      <c r="B110" s="6" t="n">
        <v>45940</v>
      </c>
      <c r="C110" s="5" t="inlineStr">
        <is>
          <t>C018</t>
        </is>
      </c>
      <c r="D110" s="5" t="inlineStr">
        <is>
          <t>Navya Desai</t>
        </is>
      </c>
      <c r="E110" s="5" t="inlineStr">
        <is>
          <t>North</t>
        </is>
      </c>
      <c r="F110" s="5" t="inlineStr">
        <is>
          <t>Wireless Mouse</t>
        </is>
      </c>
      <c r="G110" s="5" t="inlineStr">
        <is>
          <t>Electronics</t>
        </is>
      </c>
      <c r="H110" s="5" t="n">
        <v>2</v>
      </c>
      <c r="I110" s="7" t="n">
        <v>799</v>
      </c>
      <c r="J110" s="8">
        <f>H110*I110</f>
        <v/>
      </c>
      <c r="K110" s="5" t="inlineStr">
        <is>
          <t>UPI</t>
        </is>
      </c>
      <c r="L110" s="5" t="inlineStr">
        <is>
          <t>Online</t>
        </is>
      </c>
      <c r="M110" s="9">
        <f>TEXT(B110,"mmm-yyyy")</f>
        <v/>
      </c>
      <c r="N110" s="9">
        <f>DATEDIF(B110,TODAY(),"d")</f>
        <v/>
      </c>
      <c r="O110" s="10">
        <f>NOW()</f>
        <v/>
      </c>
    </row>
    <row r="111">
      <c r="A111" s="5" t="inlineStr">
        <is>
          <t>T0110</t>
        </is>
      </c>
      <c r="B111" s="6" t="n">
        <v>46074</v>
      </c>
      <c r="C111" s="5" t="inlineStr">
        <is>
          <t>C016</t>
        </is>
      </c>
      <c r="D111" s="5" t="inlineStr">
        <is>
          <t>Avni Patel</t>
        </is>
      </c>
      <c r="E111" s="5" t="inlineStr">
        <is>
          <t>East</t>
        </is>
      </c>
      <c r="F111" s="5" t="inlineStr">
        <is>
          <t>Coffee Mug</t>
        </is>
      </c>
      <c r="G111" s="5" t="inlineStr">
        <is>
          <t>Home</t>
        </is>
      </c>
      <c r="H111" s="5" t="n">
        <v>3</v>
      </c>
      <c r="I111" s="7" t="n">
        <v>349</v>
      </c>
      <c r="J111" s="8">
        <f>H111*I111</f>
        <v/>
      </c>
      <c r="K111" s="5" t="inlineStr">
        <is>
          <t>Cash</t>
        </is>
      </c>
      <c r="L111" s="5" t="inlineStr">
        <is>
          <t>Store</t>
        </is>
      </c>
      <c r="M111" s="9">
        <f>TEXT(B111,"mmm-yyyy")</f>
        <v/>
      </c>
      <c r="N111" s="9">
        <f>DATEDIF(B111,TODAY(),"d")</f>
        <v/>
      </c>
      <c r="O111" s="10">
        <f>NOW()</f>
        <v/>
      </c>
    </row>
    <row r="112">
      <c r="A112" s="5" t="inlineStr">
        <is>
          <t>T0111</t>
        </is>
      </c>
      <c r="B112" s="6" t="n">
        <v>45675</v>
      </c>
      <c r="C112" s="5" t="inlineStr">
        <is>
          <t>C003</t>
        </is>
      </c>
      <c r="D112" s="5" t="inlineStr">
        <is>
          <t>Vivaan Mehta</t>
        </is>
      </c>
      <c r="E112" s="5" t="inlineStr">
        <is>
          <t>North</t>
        </is>
      </c>
      <c r="F112" s="5" t="inlineStr">
        <is>
          <t>Premium Pen</t>
        </is>
      </c>
      <c r="G112" s="5" t="inlineStr">
        <is>
          <t>Stationery</t>
        </is>
      </c>
      <c r="H112" s="5" t="n">
        <v>1</v>
      </c>
      <c r="I112" s="7" t="n">
        <v>399</v>
      </c>
      <c r="J112" s="8">
        <f>H112*I112</f>
        <v/>
      </c>
      <c r="K112" s="5" t="inlineStr">
        <is>
          <t>Debit Card</t>
        </is>
      </c>
      <c r="L112" s="5" t="inlineStr">
        <is>
          <t>Mobile App</t>
        </is>
      </c>
      <c r="M112" s="9">
        <f>TEXT(B112,"mmm-yyyy")</f>
        <v/>
      </c>
      <c r="N112" s="9">
        <f>DATEDIF(B112,TODAY(),"d")</f>
        <v/>
      </c>
      <c r="O112" s="10">
        <f>NOW()</f>
        <v/>
      </c>
    </row>
    <row r="113">
      <c r="A113" s="5" t="inlineStr">
        <is>
          <t>T0112</t>
        </is>
      </c>
      <c r="B113" s="6" t="n">
        <v>46253</v>
      </c>
      <c r="C113" s="5" t="inlineStr">
        <is>
          <t>C012</t>
        </is>
      </c>
      <c r="D113" s="5" t="inlineStr">
        <is>
          <t>Kiara Joshi</t>
        </is>
      </c>
      <c r="E113" s="5" t="inlineStr">
        <is>
          <t>South</t>
        </is>
      </c>
      <c r="F113" s="5" t="inlineStr">
        <is>
          <t>Desk Lamp</t>
        </is>
      </c>
      <c r="G113" s="5" t="inlineStr">
        <is>
          <t>Home</t>
        </is>
      </c>
      <c r="H113" s="5" t="n">
        <v>2</v>
      </c>
      <c r="I113" s="7" t="n">
        <v>1099</v>
      </c>
      <c r="J113" s="8">
        <f>H113*I113</f>
        <v/>
      </c>
      <c r="K113" s="5" t="inlineStr">
        <is>
          <t>Cash</t>
        </is>
      </c>
      <c r="L113" s="5" t="inlineStr">
        <is>
          <t>Mobile App</t>
        </is>
      </c>
      <c r="M113" s="9">
        <f>TEXT(B113,"mmm-yyyy")</f>
        <v/>
      </c>
      <c r="N113" s="9">
        <f>DATEDIF(B113,TODAY(),"d")</f>
        <v/>
      </c>
      <c r="O113" s="10">
        <f>NOW()</f>
        <v/>
      </c>
    </row>
    <row r="114">
      <c r="A114" s="5" t="inlineStr">
        <is>
          <t>T0113</t>
        </is>
      </c>
      <c r="B114" s="6" t="n">
        <v>46221</v>
      </c>
      <c r="C114" s="5" t="inlineStr">
        <is>
          <t>C011</t>
        </is>
      </c>
      <c r="D114" s="5" t="inlineStr">
        <is>
          <t>Krish Dave</t>
        </is>
      </c>
      <c r="E114" s="5" t="inlineStr">
        <is>
          <t>South</t>
        </is>
      </c>
      <c r="F114" s="5" t="inlineStr">
        <is>
          <t>Water Bottle</t>
        </is>
      </c>
      <c r="G114" s="5" t="inlineStr">
        <is>
          <t>Lifestyle</t>
        </is>
      </c>
      <c r="H114" s="5" t="n">
        <v>3</v>
      </c>
      <c r="I114" s="7" t="n">
        <v>599</v>
      </c>
      <c r="J114" s="8">
        <f>H114*I114</f>
        <v/>
      </c>
      <c r="K114" s="5" t="inlineStr">
        <is>
          <t>Debit Card</t>
        </is>
      </c>
      <c r="L114" s="5" t="inlineStr">
        <is>
          <t>Store</t>
        </is>
      </c>
      <c r="M114" s="9">
        <f>TEXT(B114,"mmm-yyyy")</f>
        <v/>
      </c>
      <c r="N114" s="9">
        <f>DATEDIF(B114,TODAY(),"d")</f>
        <v/>
      </c>
      <c r="O114" s="10">
        <f>NOW()</f>
        <v/>
      </c>
    </row>
    <row r="115">
      <c r="A115" s="5" t="inlineStr">
        <is>
          <t>T0114</t>
        </is>
      </c>
      <c r="B115" s="6" t="n">
        <v>45894</v>
      </c>
      <c r="C115" s="5" t="inlineStr">
        <is>
          <t>C004</t>
        </is>
      </c>
      <c r="D115" s="5" t="inlineStr">
        <is>
          <t>Anaya Desai</t>
        </is>
      </c>
      <c r="E115" s="5" t="inlineStr">
        <is>
          <t>Central</t>
        </is>
      </c>
      <c r="F115" s="5" t="inlineStr">
        <is>
          <t>Notebook Pack</t>
        </is>
      </c>
      <c r="G115" s="5" t="inlineStr">
        <is>
          <t>Stationery</t>
        </is>
      </c>
      <c r="H115" s="5" t="n">
        <v>1</v>
      </c>
      <c r="I115" s="7" t="n">
        <v>249</v>
      </c>
      <c r="J115" s="8">
        <f>H115*I115</f>
        <v/>
      </c>
      <c r="K115" s="5" t="inlineStr">
        <is>
          <t>Credit Card</t>
        </is>
      </c>
      <c r="L115" s="5" t="inlineStr">
        <is>
          <t>Online</t>
        </is>
      </c>
      <c r="M115" s="9">
        <f>TEXT(B115,"mmm-yyyy")</f>
        <v/>
      </c>
      <c r="N115" s="9">
        <f>DATEDIF(B115,TODAY(),"d")</f>
        <v/>
      </c>
      <c r="O115" s="10">
        <f>NOW()</f>
        <v/>
      </c>
    </row>
    <row r="116">
      <c r="A116" s="5" t="inlineStr">
        <is>
          <t>T0115</t>
        </is>
      </c>
      <c r="B116" s="6" t="n">
        <v>45879</v>
      </c>
      <c r="C116" s="5" t="inlineStr">
        <is>
          <t>C024</t>
        </is>
      </c>
      <c r="D116" s="5" t="inlineStr">
        <is>
          <t>Saanvi Dave</t>
        </is>
      </c>
      <c r="E116" s="5" t="inlineStr">
        <is>
          <t>Central</t>
        </is>
      </c>
      <c r="F116" s="5" t="inlineStr">
        <is>
          <t>Desk Lamp</t>
        </is>
      </c>
      <c r="G116" s="5" t="inlineStr">
        <is>
          <t>Home</t>
        </is>
      </c>
      <c r="H116" s="5" t="n">
        <v>1</v>
      </c>
      <c r="I116" s="7" t="n">
        <v>1099</v>
      </c>
      <c r="J116" s="8">
        <f>H116*I116</f>
        <v/>
      </c>
      <c r="K116" s="5" t="inlineStr">
        <is>
          <t>Net Banking</t>
        </is>
      </c>
      <c r="L116" s="5" t="inlineStr">
        <is>
          <t>Mobile App</t>
        </is>
      </c>
      <c r="M116" s="9">
        <f>TEXT(B116,"mmm-yyyy")</f>
        <v/>
      </c>
      <c r="N116" s="9">
        <f>DATEDIF(B116,TODAY(),"d")</f>
        <v/>
      </c>
      <c r="O116" s="10">
        <f>NOW()</f>
        <v/>
      </c>
    </row>
    <row r="117">
      <c r="A117" s="5" t="inlineStr">
        <is>
          <t>T0116</t>
        </is>
      </c>
      <c r="B117" s="6" t="n">
        <v>45947</v>
      </c>
      <c r="C117" s="5" t="inlineStr">
        <is>
          <t>C004</t>
        </is>
      </c>
      <c r="D117" s="5" t="inlineStr">
        <is>
          <t>Anaya Desai</t>
        </is>
      </c>
      <c r="E117" s="5" t="inlineStr">
        <is>
          <t>South</t>
        </is>
      </c>
      <c r="F117" s="5" t="inlineStr">
        <is>
          <t>Notebook Pack</t>
        </is>
      </c>
      <c r="G117" s="5" t="inlineStr">
        <is>
          <t>Stationery</t>
        </is>
      </c>
      <c r="H117" s="5" t="n">
        <v>1</v>
      </c>
      <c r="I117" s="7" t="n">
        <v>249</v>
      </c>
      <c r="J117" s="8">
        <f>H117*I117</f>
        <v/>
      </c>
      <c r="K117" s="5" t="inlineStr">
        <is>
          <t>Credit Card</t>
        </is>
      </c>
      <c r="L117" s="5" t="inlineStr">
        <is>
          <t>Store</t>
        </is>
      </c>
      <c r="M117" s="9">
        <f>TEXT(B117,"mmm-yyyy")</f>
        <v/>
      </c>
      <c r="N117" s="9">
        <f>DATEDIF(B117,TODAY(),"d")</f>
        <v/>
      </c>
      <c r="O117" s="10">
        <f>NOW()</f>
        <v/>
      </c>
    </row>
    <row r="118">
      <c r="A118" s="5" t="inlineStr">
        <is>
          <t>T0117</t>
        </is>
      </c>
      <c r="B118" s="6" t="n">
        <v>45672</v>
      </c>
      <c r="C118" s="5" t="inlineStr">
        <is>
          <t>C023</t>
        </is>
      </c>
      <c r="D118" s="5" t="inlineStr">
        <is>
          <t>Yash Mehta</t>
        </is>
      </c>
      <c r="E118" s="5" t="inlineStr">
        <is>
          <t>West</t>
        </is>
      </c>
      <c r="F118" s="5" t="inlineStr">
        <is>
          <t>Coffee Mug</t>
        </is>
      </c>
      <c r="G118" s="5" t="inlineStr">
        <is>
          <t>Home</t>
        </is>
      </c>
      <c r="H118" s="5" t="n">
        <v>1</v>
      </c>
      <c r="I118" s="7" t="n">
        <v>349</v>
      </c>
      <c r="J118" s="8">
        <f>H118*I118</f>
        <v/>
      </c>
      <c r="K118" s="5" t="inlineStr">
        <is>
          <t>UPI</t>
        </is>
      </c>
      <c r="L118" s="5" t="inlineStr">
        <is>
          <t>Mobile App</t>
        </is>
      </c>
      <c r="M118" s="9">
        <f>TEXT(B118,"mmm-yyyy")</f>
        <v/>
      </c>
      <c r="N118" s="9">
        <f>DATEDIF(B118,TODAY(),"d")</f>
        <v/>
      </c>
      <c r="O118" s="10">
        <f>NOW()</f>
        <v/>
      </c>
    </row>
    <row r="119">
      <c r="A119" s="5" t="inlineStr">
        <is>
          <t>T0118</t>
        </is>
      </c>
      <c r="B119" s="6" t="n">
        <v>45957</v>
      </c>
      <c r="C119" s="5" t="inlineStr">
        <is>
          <t>C023</t>
        </is>
      </c>
      <c r="D119" s="5" t="inlineStr">
        <is>
          <t>Yash Mehta</t>
        </is>
      </c>
      <c r="E119" s="5" t="inlineStr">
        <is>
          <t>East</t>
        </is>
      </c>
      <c r="F119" s="5" t="inlineStr">
        <is>
          <t>USB-C Hub</t>
        </is>
      </c>
      <c r="G119" s="5" t="inlineStr">
        <is>
          <t>Electronics</t>
        </is>
      </c>
      <c r="H119" s="5" t="n">
        <v>3</v>
      </c>
      <c r="I119" s="7" t="n">
        <v>1899</v>
      </c>
      <c r="J119" s="8">
        <f>H119*I119</f>
        <v/>
      </c>
      <c r="K119" s="5" t="inlineStr">
        <is>
          <t>UPI</t>
        </is>
      </c>
      <c r="L119" s="5" t="inlineStr">
        <is>
          <t>Online</t>
        </is>
      </c>
      <c r="M119" s="9">
        <f>TEXT(B119,"mmm-yyyy")</f>
        <v/>
      </c>
      <c r="N119" s="9">
        <f>DATEDIF(B119,TODAY(),"d")</f>
        <v/>
      </c>
      <c r="O119" s="10">
        <f>NOW()</f>
        <v/>
      </c>
    </row>
    <row r="120">
      <c r="A120" s="5" t="inlineStr">
        <is>
          <t>T0119</t>
        </is>
      </c>
      <c r="B120" s="6" t="n">
        <v>46245</v>
      </c>
      <c r="C120" s="5" t="inlineStr">
        <is>
          <t>C010</t>
        </is>
      </c>
      <c r="D120" s="5" t="inlineStr">
        <is>
          <t>Sara Mehta</t>
        </is>
      </c>
      <c r="E120" s="5" t="inlineStr">
        <is>
          <t>South</t>
        </is>
      </c>
      <c r="F120" s="5" t="inlineStr">
        <is>
          <t>Desk Lamp</t>
        </is>
      </c>
      <c r="G120" s="5" t="inlineStr">
        <is>
          <t>Home</t>
        </is>
      </c>
      <c r="H120" s="5" t="n">
        <v>2</v>
      </c>
      <c r="I120" s="7" t="n">
        <v>1099</v>
      </c>
      <c r="J120" s="8">
        <f>H120*I120</f>
        <v/>
      </c>
      <c r="K120" s="5" t="inlineStr">
        <is>
          <t>Credit Card</t>
        </is>
      </c>
      <c r="L120" s="5" t="inlineStr">
        <is>
          <t>Online</t>
        </is>
      </c>
      <c r="M120" s="9">
        <f>TEXT(B120,"mmm-yyyy")</f>
        <v/>
      </c>
      <c r="N120" s="9">
        <f>DATEDIF(B120,TODAY(),"d")</f>
        <v/>
      </c>
      <c r="O120" s="10">
        <f>NOW()</f>
        <v/>
      </c>
    </row>
    <row r="121">
      <c r="A121" s="5" t="inlineStr">
        <is>
          <t>T0120</t>
        </is>
      </c>
      <c r="B121" s="6" t="n">
        <v>45916</v>
      </c>
      <c r="C121" s="5" t="inlineStr">
        <is>
          <t>C028</t>
        </is>
      </c>
      <c r="D121" s="5" t="inlineStr">
        <is>
          <t>Tara Shah</t>
        </is>
      </c>
      <c r="E121" s="5" t="inlineStr">
        <is>
          <t>West</t>
        </is>
      </c>
      <c r="F121" s="5" t="inlineStr">
        <is>
          <t>Desk Lamp</t>
        </is>
      </c>
      <c r="G121" s="5" t="inlineStr">
        <is>
          <t>Home</t>
        </is>
      </c>
      <c r="H121" s="5" t="n">
        <v>1</v>
      </c>
      <c r="I121" s="7" t="n">
        <v>1099</v>
      </c>
      <c r="J121" s="8">
        <f>H121*I121</f>
        <v/>
      </c>
      <c r="K121" s="5" t="inlineStr">
        <is>
          <t>Cash</t>
        </is>
      </c>
      <c r="L121" s="5" t="inlineStr">
        <is>
          <t>Store</t>
        </is>
      </c>
      <c r="M121" s="9">
        <f>TEXT(B121,"mmm-yyyy")</f>
        <v/>
      </c>
      <c r="N121" s="9">
        <f>DATEDIF(B121,TODAY(),"d")</f>
        <v/>
      </c>
      <c r="O121" s="10">
        <f>NOW()</f>
        <v/>
      </c>
    </row>
    <row r="122">
      <c r="A122" s="5" t="inlineStr">
        <is>
          <t>T0121</t>
        </is>
      </c>
      <c r="B122" s="6" t="n">
        <v>45733</v>
      </c>
      <c r="C122" s="5" t="inlineStr">
        <is>
          <t>C019</t>
        </is>
      </c>
      <c r="D122" s="5" t="inlineStr">
        <is>
          <t>Dhruv Joshi</t>
        </is>
      </c>
      <c r="E122" s="5" t="inlineStr">
        <is>
          <t>Central</t>
        </is>
      </c>
      <c r="F122" s="5" t="inlineStr">
        <is>
          <t>Wireless Mouse</t>
        </is>
      </c>
      <c r="G122" s="5" t="inlineStr">
        <is>
          <t>Electronics</t>
        </is>
      </c>
      <c r="H122" s="5" t="n">
        <v>1</v>
      </c>
      <c r="I122" s="7" t="n">
        <v>799</v>
      </c>
      <c r="J122" s="8">
        <f>H122*I122</f>
        <v/>
      </c>
      <c r="K122" s="5" t="inlineStr">
        <is>
          <t>Debit Card</t>
        </is>
      </c>
      <c r="L122" s="5" t="inlineStr">
        <is>
          <t>Online</t>
        </is>
      </c>
      <c r="M122" s="9">
        <f>TEXT(B122,"mmm-yyyy")</f>
        <v/>
      </c>
      <c r="N122" s="9">
        <f>DATEDIF(B122,TODAY(),"d")</f>
        <v/>
      </c>
      <c r="O122" s="10">
        <f>NOW()</f>
        <v/>
      </c>
    </row>
    <row r="123">
      <c r="A123" s="5" t="inlineStr">
        <is>
          <t>T0122</t>
        </is>
      </c>
      <c r="B123" s="6" t="n">
        <v>45912</v>
      </c>
      <c r="C123" s="5" t="inlineStr">
        <is>
          <t>C004</t>
        </is>
      </c>
      <c r="D123" s="5" t="inlineStr">
        <is>
          <t>Anaya Desai</t>
        </is>
      </c>
      <c r="E123" s="5" t="inlineStr">
        <is>
          <t>Central</t>
        </is>
      </c>
      <c r="F123" s="5" t="inlineStr">
        <is>
          <t>Coffee Mug</t>
        </is>
      </c>
      <c r="G123" s="5" t="inlineStr">
        <is>
          <t>Home</t>
        </is>
      </c>
      <c r="H123" s="5" t="n">
        <v>3</v>
      </c>
      <c r="I123" s="7" t="n">
        <v>349</v>
      </c>
      <c r="J123" s="8">
        <f>H123*I123</f>
        <v/>
      </c>
      <c r="K123" s="5" t="inlineStr">
        <is>
          <t>Net Banking</t>
        </is>
      </c>
      <c r="L123" s="5" t="inlineStr">
        <is>
          <t>Mobile App</t>
        </is>
      </c>
      <c r="M123" s="9">
        <f>TEXT(B123,"mmm-yyyy")</f>
        <v/>
      </c>
      <c r="N123" s="9">
        <f>DATEDIF(B123,TODAY(),"d")</f>
        <v/>
      </c>
      <c r="O123" s="10">
        <f>NOW()</f>
        <v/>
      </c>
    </row>
    <row r="124">
      <c r="A124" s="5" t="inlineStr">
        <is>
          <t>T0123</t>
        </is>
      </c>
      <c r="B124" s="6" t="n">
        <v>45889</v>
      </c>
      <c r="C124" s="5" t="inlineStr">
        <is>
          <t>C025</t>
        </is>
      </c>
      <c r="D124" s="5" t="inlineStr">
        <is>
          <t>Neil Trivedi</t>
        </is>
      </c>
      <c r="E124" s="5" t="inlineStr">
        <is>
          <t>East</t>
        </is>
      </c>
      <c r="F124" s="5" t="inlineStr">
        <is>
          <t>Coffee Mug</t>
        </is>
      </c>
      <c r="G124" s="5" t="inlineStr">
        <is>
          <t>Home</t>
        </is>
      </c>
      <c r="H124" s="5" t="n">
        <v>2</v>
      </c>
      <c r="I124" s="7" t="n">
        <v>349</v>
      </c>
      <c r="J124" s="8">
        <f>H124*I124</f>
        <v/>
      </c>
      <c r="K124" s="5" t="inlineStr">
        <is>
          <t>Debit Card</t>
        </is>
      </c>
      <c r="L124" s="5" t="inlineStr">
        <is>
          <t>Mobile App</t>
        </is>
      </c>
      <c r="M124" s="9">
        <f>TEXT(B124,"mmm-yyyy")</f>
        <v/>
      </c>
      <c r="N124" s="9">
        <f>DATEDIF(B124,TODAY(),"d")</f>
        <v/>
      </c>
      <c r="O124" s="10">
        <f>NOW()</f>
        <v/>
      </c>
    </row>
    <row r="125">
      <c r="A125" s="5" t="inlineStr">
        <is>
          <t>T0124</t>
        </is>
      </c>
      <c r="B125" s="6" t="n">
        <v>46097</v>
      </c>
      <c r="C125" s="5" t="inlineStr">
        <is>
          <t>C010</t>
        </is>
      </c>
      <c r="D125" s="5" t="inlineStr">
        <is>
          <t>Sara Mehta</t>
        </is>
      </c>
      <c r="E125" s="5" t="inlineStr">
        <is>
          <t>Central</t>
        </is>
      </c>
      <c r="F125" s="5" t="inlineStr">
        <is>
          <t>Headphones</t>
        </is>
      </c>
      <c r="G125" s="5" t="inlineStr">
        <is>
          <t>Electronics</t>
        </is>
      </c>
      <c r="H125" s="5" t="n">
        <v>2</v>
      </c>
      <c r="I125" s="7" t="n">
        <v>2499</v>
      </c>
      <c r="J125" s="8">
        <f>H125*I125</f>
        <v/>
      </c>
      <c r="K125" s="5" t="inlineStr">
        <is>
          <t>UPI</t>
        </is>
      </c>
      <c r="L125" s="5" t="inlineStr">
        <is>
          <t>Online</t>
        </is>
      </c>
      <c r="M125" s="9">
        <f>TEXT(B125,"mmm-yyyy")</f>
        <v/>
      </c>
      <c r="N125" s="9">
        <f>DATEDIF(B125,TODAY(),"d")</f>
        <v/>
      </c>
      <c r="O125" s="10">
        <f>NOW()</f>
        <v/>
      </c>
    </row>
    <row r="126">
      <c r="A126" s="5" t="inlineStr">
        <is>
          <t>T0125</t>
        </is>
      </c>
      <c r="B126" s="6" t="n">
        <v>46298</v>
      </c>
      <c r="C126" s="5" t="inlineStr">
        <is>
          <t>C007</t>
        </is>
      </c>
      <c r="D126" s="5" t="inlineStr">
        <is>
          <t>Reyansh Modi</t>
        </is>
      </c>
      <c r="E126" s="5" t="inlineStr">
        <is>
          <t>North</t>
        </is>
      </c>
      <c r="F126" s="5" t="inlineStr">
        <is>
          <t>Premium Pen</t>
        </is>
      </c>
      <c r="G126" s="5" t="inlineStr">
        <is>
          <t>Stationery</t>
        </is>
      </c>
      <c r="H126" s="5" t="n">
        <v>3</v>
      </c>
      <c r="I126" s="7" t="n">
        <v>399</v>
      </c>
      <c r="J126" s="8">
        <f>H126*I126</f>
        <v/>
      </c>
      <c r="K126" s="5" t="inlineStr">
        <is>
          <t>Credit Card</t>
        </is>
      </c>
      <c r="L126" s="5" t="inlineStr">
        <is>
          <t>Online</t>
        </is>
      </c>
      <c r="M126" s="9">
        <f>TEXT(B126,"mmm-yyyy")</f>
        <v/>
      </c>
      <c r="N126" s="9">
        <f>DATEDIF(B126,TODAY(),"d")</f>
        <v/>
      </c>
      <c r="O126" s="10">
        <f>NOW()</f>
        <v/>
      </c>
    </row>
    <row r="127">
      <c r="A127" s="5" t="inlineStr">
        <is>
          <t>T0126</t>
        </is>
      </c>
      <c r="B127" s="6" t="n">
        <v>46223</v>
      </c>
      <c r="C127" s="5" t="inlineStr">
        <is>
          <t>C003</t>
        </is>
      </c>
      <c r="D127" s="5" t="inlineStr">
        <is>
          <t>Vivaan Mehta</t>
        </is>
      </c>
      <c r="E127" s="5" t="inlineStr">
        <is>
          <t>East</t>
        </is>
      </c>
      <c r="F127" s="5" t="inlineStr">
        <is>
          <t>USB-C Hub</t>
        </is>
      </c>
      <c r="G127" s="5" t="inlineStr">
        <is>
          <t>Electronics</t>
        </is>
      </c>
      <c r="H127" s="5" t="n">
        <v>1</v>
      </c>
      <c r="I127" s="7" t="n">
        <v>1899</v>
      </c>
      <c r="J127" s="8">
        <f>H127*I127</f>
        <v/>
      </c>
      <c r="K127" s="5" t="inlineStr">
        <is>
          <t>Net Banking</t>
        </is>
      </c>
      <c r="L127" s="5" t="inlineStr">
        <is>
          <t>Store</t>
        </is>
      </c>
      <c r="M127" s="9">
        <f>TEXT(B127,"mmm-yyyy")</f>
        <v/>
      </c>
      <c r="N127" s="9">
        <f>DATEDIF(B127,TODAY(),"d")</f>
        <v/>
      </c>
      <c r="O127" s="10">
        <f>NOW()</f>
        <v/>
      </c>
    </row>
    <row r="128">
      <c r="A128" s="5" t="inlineStr">
        <is>
          <t>T0127</t>
        </is>
      </c>
      <c r="B128" s="6" t="n">
        <v>45956</v>
      </c>
      <c r="C128" s="5" t="inlineStr">
        <is>
          <t>C002</t>
        </is>
      </c>
      <c r="D128" s="5" t="inlineStr">
        <is>
          <t>Diya Shah</t>
        </is>
      </c>
      <c r="E128" s="5" t="inlineStr">
        <is>
          <t>South</t>
        </is>
      </c>
      <c r="F128" s="5" t="inlineStr">
        <is>
          <t>Notebook Pack</t>
        </is>
      </c>
      <c r="G128" s="5" t="inlineStr">
        <is>
          <t>Stationery</t>
        </is>
      </c>
      <c r="H128" s="5" t="n">
        <v>1</v>
      </c>
      <c r="I128" s="7" t="n">
        <v>249</v>
      </c>
      <c r="J128" s="8">
        <f>H128*I128</f>
        <v/>
      </c>
      <c r="K128" s="5" t="inlineStr">
        <is>
          <t>Cash</t>
        </is>
      </c>
      <c r="L128" s="5" t="inlineStr">
        <is>
          <t>Online</t>
        </is>
      </c>
      <c r="M128" s="9">
        <f>TEXT(B128,"mmm-yyyy")</f>
        <v/>
      </c>
      <c r="N128" s="9">
        <f>DATEDIF(B128,TODAY(),"d")</f>
        <v/>
      </c>
      <c r="O128" s="10">
        <f>NOW()</f>
        <v/>
      </c>
    </row>
    <row r="129">
      <c r="A129" s="5" t="inlineStr">
        <is>
          <t>T0128</t>
        </is>
      </c>
      <c r="B129" s="6" t="n">
        <v>45897</v>
      </c>
      <c r="C129" s="5" t="inlineStr">
        <is>
          <t>C030</t>
        </is>
      </c>
      <c r="D129" s="5" t="inlineStr">
        <is>
          <t>Zoya Mehta</t>
        </is>
      </c>
      <c r="E129" s="5" t="inlineStr">
        <is>
          <t>Central</t>
        </is>
      </c>
      <c r="F129" s="5" t="inlineStr">
        <is>
          <t>Premium Pen</t>
        </is>
      </c>
      <c r="G129" s="5" t="inlineStr">
        <is>
          <t>Stationery</t>
        </is>
      </c>
      <c r="H129" s="5" t="n">
        <v>3</v>
      </c>
      <c r="I129" s="7" t="n">
        <v>399</v>
      </c>
      <c r="J129" s="8">
        <f>H129*I129</f>
        <v/>
      </c>
      <c r="K129" s="5" t="inlineStr">
        <is>
          <t>Credit Card</t>
        </is>
      </c>
      <c r="L129" s="5" t="inlineStr">
        <is>
          <t>Store</t>
        </is>
      </c>
      <c r="M129" s="9">
        <f>TEXT(B129,"mmm-yyyy")</f>
        <v/>
      </c>
      <c r="N129" s="9">
        <f>DATEDIF(B129,TODAY(),"d")</f>
        <v/>
      </c>
      <c r="O129" s="10">
        <f>NOW()</f>
        <v/>
      </c>
    </row>
    <row r="130">
      <c r="A130" s="5" t="inlineStr">
        <is>
          <t>T0129</t>
        </is>
      </c>
      <c r="B130" s="6" t="n">
        <v>45775</v>
      </c>
      <c r="C130" s="5" t="inlineStr">
        <is>
          <t>C018</t>
        </is>
      </c>
      <c r="D130" s="5" t="inlineStr">
        <is>
          <t>Navya Desai</t>
        </is>
      </c>
      <c r="E130" s="5" t="inlineStr">
        <is>
          <t>South</t>
        </is>
      </c>
      <c r="F130" s="5" t="inlineStr">
        <is>
          <t>Notebook Pack</t>
        </is>
      </c>
      <c r="G130" s="5" t="inlineStr">
        <is>
          <t>Stationery</t>
        </is>
      </c>
      <c r="H130" s="5" t="n">
        <v>3</v>
      </c>
      <c r="I130" s="7" t="n">
        <v>249</v>
      </c>
      <c r="J130" s="8">
        <f>H130*I130</f>
        <v/>
      </c>
      <c r="K130" s="5" t="inlineStr">
        <is>
          <t>Credit Card</t>
        </is>
      </c>
      <c r="L130" s="5" t="inlineStr">
        <is>
          <t>Online</t>
        </is>
      </c>
      <c r="M130" s="9">
        <f>TEXT(B130,"mmm-yyyy")</f>
        <v/>
      </c>
      <c r="N130" s="9">
        <f>DATEDIF(B130,TODAY(),"d")</f>
        <v/>
      </c>
      <c r="O130" s="10">
        <f>NOW()</f>
        <v/>
      </c>
    </row>
    <row r="131">
      <c r="A131" s="5" t="inlineStr">
        <is>
          <t>T0130</t>
        </is>
      </c>
      <c r="B131" s="6" t="n">
        <v>45719</v>
      </c>
      <c r="C131" s="5" t="inlineStr">
        <is>
          <t>C006</t>
        </is>
      </c>
      <c r="D131" s="5" t="inlineStr">
        <is>
          <t>Isha Trivedi</t>
        </is>
      </c>
      <c r="E131" s="5" t="inlineStr">
        <is>
          <t>Central</t>
        </is>
      </c>
      <c r="F131" s="5" t="inlineStr">
        <is>
          <t>Premium Pen</t>
        </is>
      </c>
      <c r="G131" s="5" t="inlineStr">
        <is>
          <t>Stationery</t>
        </is>
      </c>
      <c r="H131" s="5" t="n">
        <v>2</v>
      </c>
      <c r="I131" s="7" t="n">
        <v>399</v>
      </c>
      <c r="J131" s="8">
        <f>H131*I131</f>
        <v/>
      </c>
      <c r="K131" s="5" t="inlineStr">
        <is>
          <t>Debit Card</t>
        </is>
      </c>
      <c r="L131" s="5" t="inlineStr">
        <is>
          <t>Store</t>
        </is>
      </c>
      <c r="M131" s="9">
        <f>TEXT(B131,"mmm-yyyy")</f>
        <v/>
      </c>
      <c r="N131" s="9">
        <f>DATEDIF(B131,TODAY(),"d")</f>
        <v/>
      </c>
      <c r="O131" s="10">
        <f>NOW()</f>
        <v/>
      </c>
    </row>
    <row r="132">
      <c r="A132" s="5" t="inlineStr">
        <is>
          <t>T0131</t>
        </is>
      </c>
      <c r="B132" s="6" t="n">
        <v>45785</v>
      </c>
      <c r="C132" s="5" t="inlineStr">
        <is>
          <t>C015</t>
        </is>
      </c>
      <c r="D132" s="5" t="inlineStr">
        <is>
          <t>Dev Shah</t>
        </is>
      </c>
      <c r="E132" s="5" t="inlineStr">
        <is>
          <t>South</t>
        </is>
      </c>
      <c r="F132" s="5" t="inlineStr">
        <is>
          <t>Premium Pen</t>
        </is>
      </c>
      <c r="G132" s="5" t="inlineStr">
        <is>
          <t>Stationery</t>
        </is>
      </c>
      <c r="H132" s="5" t="n">
        <v>3</v>
      </c>
      <c r="I132" s="7" t="n">
        <v>399</v>
      </c>
      <c r="J132" s="8">
        <f>H132*I132</f>
        <v/>
      </c>
      <c r="K132" s="5" t="inlineStr">
        <is>
          <t>Net Banking</t>
        </is>
      </c>
      <c r="L132" s="5" t="inlineStr">
        <is>
          <t>Mobile App</t>
        </is>
      </c>
      <c r="M132" s="9">
        <f>TEXT(B132,"mmm-yyyy")</f>
        <v/>
      </c>
      <c r="N132" s="9">
        <f>DATEDIF(B132,TODAY(),"d")</f>
        <v/>
      </c>
      <c r="O132" s="10">
        <f>NOW()</f>
        <v/>
      </c>
    </row>
    <row r="133">
      <c r="A133" s="5" t="inlineStr">
        <is>
          <t>T0132</t>
        </is>
      </c>
      <c r="B133" s="6" t="n">
        <v>46163</v>
      </c>
      <c r="C133" s="5" t="inlineStr">
        <is>
          <t>C015</t>
        </is>
      </c>
      <c r="D133" s="5" t="inlineStr">
        <is>
          <t>Dev Shah</t>
        </is>
      </c>
      <c r="E133" s="5" t="inlineStr">
        <is>
          <t>East</t>
        </is>
      </c>
      <c r="F133" s="5" t="inlineStr">
        <is>
          <t>Keyboard</t>
        </is>
      </c>
      <c r="G133" s="5" t="inlineStr">
        <is>
          <t>Electronics</t>
        </is>
      </c>
      <c r="H133" s="5" t="n">
        <v>2</v>
      </c>
      <c r="I133" s="7" t="n">
        <v>1299</v>
      </c>
      <c r="J133" s="8">
        <f>H133*I133</f>
        <v/>
      </c>
      <c r="K133" s="5" t="inlineStr">
        <is>
          <t>Debit Card</t>
        </is>
      </c>
      <c r="L133" s="5" t="inlineStr">
        <is>
          <t>Mobile App</t>
        </is>
      </c>
      <c r="M133" s="9">
        <f>TEXT(B133,"mmm-yyyy")</f>
        <v/>
      </c>
      <c r="N133" s="9">
        <f>DATEDIF(B133,TODAY(),"d")</f>
        <v/>
      </c>
      <c r="O133" s="10">
        <f>NOW()</f>
        <v/>
      </c>
    </row>
    <row r="134">
      <c r="A134" s="5" t="inlineStr">
        <is>
          <t>T0133</t>
        </is>
      </c>
      <c r="B134" s="6" t="n">
        <v>45914</v>
      </c>
      <c r="C134" s="5" t="inlineStr">
        <is>
          <t>C001</t>
        </is>
      </c>
      <c r="D134" s="5" t="inlineStr">
        <is>
          <t>Aarav Patel</t>
        </is>
      </c>
      <c r="E134" s="5" t="inlineStr">
        <is>
          <t>Central</t>
        </is>
      </c>
      <c r="F134" s="5" t="inlineStr">
        <is>
          <t>Keyboard</t>
        </is>
      </c>
      <c r="G134" s="5" t="inlineStr">
        <is>
          <t>Electronics</t>
        </is>
      </c>
      <c r="H134" s="5" t="n">
        <v>1</v>
      </c>
      <c r="I134" s="7" t="n">
        <v>1299</v>
      </c>
      <c r="J134" s="8">
        <f>H134*I134</f>
        <v/>
      </c>
      <c r="K134" s="5" t="inlineStr">
        <is>
          <t>Net Banking</t>
        </is>
      </c>
      <c r="L134" s="5" t="inlineStr">
        <is>
          <t>Online</t>
        </is>
      </c>
      <c r="M134" s="9">
        <f>TEXT(B134,"mmm-yyyy")</f>
        <v/>
      </c>
      <c r="N134" s="9">
        <f>DATEDIF(B134,TODAY(),"d")</f>
        <v/>
      </c>
      <c r="O134" s="10">
        <f>NOW()</f>
        <v/>
      </c>
    </row>
    <row r="135">
      <c r="A135" s="5" t="inlineStr">
        <is>
          <t>T0134</t>
        </is>
      </c>
      <c r="B135" s="6" t="n">
        <v>45933</v>
      </c>
      <c r="C135" s="5" t="inlineStr">
        <is>
          <t>C019</t>
        </is>
      </c>
      <c r="D135" s="5" t="inlineStr">
        <is>
          <t>Dhruv Joshi</t>
        </is>
      </c>
      <c r="E135" s="5" t="inlineStr">
        <is>
          <t>North</t>
        </is>
      </c>
      <c r="F135" s="5" t="inlineStr">
        <is>
          <t>Wireless Mouse</t>
        </is>
      </c>
      <c r="G135" s="5" t="inlineStr">
        <is>
          <t>Electronics</t>
        </is>
      </c>
      <c r="H135" s="5" t="n">
        <v>3</v>
      </c>
      <c r="I135" s="7" t="n">
        <v>799</v>
      </c>
      <c r="J135" s="8">
        <f>H135*I135</f>
        <v/>
      </c>
      <c r="K135" s="5" t="inlineStr">
        <is>
          <t>Cash</t>
        </is>
      </c>
      <c r="L135" s="5" t="inlineStr">
        <is>
          <t>Mobile App</t>
        </is>
      </c>
      <c r="M135" s="9">
        <f>TEXT(B135,"mmm-yyyy")</f>
        <v/>
      </c>
      <c r="N135" s="9">
        <f>DATEDIF(B135,TODAY(),"d")</f>
        <v/>
      </c>
      <c r="O135" s="10">
        <f>NOW()</f>
        <v/>
      </c>
    </row>
    <row r="136">
      <c r="A136" s="5" t="inlineStr">
        <is>
          <t>T0135</t>
        </is>
      </c>
      <c r="B136" s="6" t="n">
        <v>46110</v>
      </c>
      <c r="C136" s="5" t="inlineStr">
        <is>
          <t>C030</t>
        </is>
      </c>
      <c r="D136" s="5" t="inlineStr">
        <is>
          <t>Zoya Mehta</t>
        </is>
      </c>
      <c r="E136" s="5" t="inlineStr">
        <is>
          <t>Central</t>
        </is>
      </c>
      <c r="F136" s="5" t="inlineStr">
        <is>
          <t>Premium Pen</t>
        </is>
      </c>
      <c r="G136" s="5" t="inlineStr">
        <is>
          <t>Stationery</t>
        </is>
      </c>
      <c r="H136" s="5" t="n">
        <v>1</v>
      </c>
      <c r="I136" s="7" t="n">
        <v>399</v>
      </c>
      <c r="J136" s="8">
        <f>H136*I136</f>
        <v/>
      </c>
      <c r="K136" s="5" t="inlineStr">
        <is>
          <t>Cash</t>
        </is>
      </c>
      <c r="L136" s="5" t="inlineStr">
        <is>
          <t>Mobile App</t>
        </is>
      </c>
      <c r="M136" s="9">
        <f>TEXT(B136,"mmm-yyyy")</f>
        <v/>
      </c>
      <c r="N136" s="9">
        <f>DATEDIF(B136,TODAY(),"d")</f>
        <v/>
      </c>
      <c r="O136" s="10">
        <f>NOW()</f>
        <v/>
      </c>
    </row>
    <row r="137">
      <c r="A137" s="5" t="inlineStr">
        <is>
          <t>T0136</t>
        </is>
      </c>
      <c r="B137" s="6" t="n">
        <v>46161</v>
      </c>
      <c r="C137" s="5" t="inlineStr">
        <is>
          <t>C003</t>
        </is>
      </c>
      <c r="D137" s="5" t="inlineStr">
        <is>
          <t>Vivaan Mehta</t>
        </is>
      </c>
      <c r="E137" s="5" t="inlineStr">
        <is>
          <t>South</t>
        </is>
      </c>
      <c r="F137" s="5" t="inlineStr">
        <is>
          <t>Desk Lamp</t>
        </is>
      </c>
      <c r="G137" s="5" t="inlineStr">
        <is>
          <t>Home</t>
        </is>
      </c>
      <c r="H137" s="5" t="n">
        <v>1</v>
      </c>
      <c r="I137" s="7" t="n">
        <v>1099</v>
      </c>
      <c r="J137" s="8">
        <f>H137*I137</f>
        <v/>
      </c>
      <c r="K137" s="5" t="inlineStr">
        <is>
          <t>Debit Card</t>
        </is>
      </c>
      <c r="L137" s="5" t="inlineStr">
        <is>
          <t>Mobile App</t>
        </is>
      </c>
      <c r="M137" s="9">
        <f>TEXT(B137,"mmm-yyyy")</f>
        <v/>
      </c>
      <c r="N137" s="9">
        <f>DATEDIF(B137,TODAY(),"d")</f>
        <v/>
      </c>
      <c r="O137" s="10">
        <f>NOW()</f>
        <v/>
      </c>
    </row>
    <row r="138">
      <c r="A138" s="5" t="inlineStr">
        <is>
          <t>T0137</t>
        </is>
      </c>
      <c r="B138" s="6" t="n">
        <v>45765</v>
      </c>
      <c r="C138" s="5" t="inlineStr">
        <is>
          <t>C028</t>
        </is>
      </c>
      <c r="D138" s="5" t="inlineStr">
        <is>
          <t>Tara Shah</t>
        </is>
      </c>
      <c r="E138" s="5" t="inlineStr">
        <is>
          <t>East</t>
        </is>
      </c>
      <c r="F138" s="5" t="inlineStr">
        <is>
          <t>USB-C Hub</t>
        </is>
      </c>
      <c r="G138" s="5" t="inlineStr">
        <is>
          <t>Electronics</t>
        </is>
      </c>
      <c r="H138" s="5" t="n">
        <v>1</v>
      </c>
      <c r="I138" s="7" t="n">
        <v>1899</v>
      </c>
      <c r="J138" s="8">
        <f>H138*I138</f>
        <v/>
      </c>
      <c r="K138" s="5" t="inlineStr">
        <is>
          <t>Debit Card</t>
        </is>
      </c>
      <c r="L138" s="5" t="inlineStr">
        <is>
          <t>Mobile App</t>
        </is>
      </c>
      <c r="M138" s="9">
        <f>TEXT(B138,"mmm-yyyy")</f>
        <v/>
      </c>
      <c r="N138" s="9">
        <f>DATEDIF(B138,TODAY(),"d")</f>
        <v/>
      </c>
      <c r="O138" s="10">
        <f>NOW()</f>
        <v/>
      </c>
    </row>
    <row r="139">
      <c r="A139" s="5" t="inlineStr">
        <is>
          <t>T0138</t>
        </is>
      </c>
      <c r="B139" s="6" t="n">
        <v>46068</v>
      </c>
      <c r="C139" s="5" t="inlineStr">
        <is>
          <t>C027</t>
        </is>
      </c>
      <c r="D139" s="5" t="inlineStr">
        <is>
          <t>Ayaan Desai</t>
        </is>
      </c>
      <c r="E139" s="5" t="inlineStr">
        <is>
          <t>West</t>
        </is>
      </c>
      <c r="F139" s="5" t="inlineStr">
        <is>
          <t>Coffee Mug</t>
        </is>
      </c>
      <c r="G139" s="5" t="inlineStr">
        <is>
          <t>Home</t>
        </is>
      </c>
      <c r="H139" s="5" t="n">
        <v>1</v>
      </c>
      <c r="I139" s="7" t="n">
        <v>349</v>
      </c>
      <c r="J139" s="8">
        <f>H139*I139</f>
        <v/>
      </c>
      <c r="K139" s="5" t="inlineStr">
        <is>
          <t>Debit Card</t>
        </is>
      </c>
      <c r="L139" s="5" t="inlineStr">
        <is>
          <t>Store</t>
        </is>
      </c>
      <c r="M139" s="9">
        <f>TEXT(B139,"mmm-yyyy")</f>
        <v/>
      </c>
      <c r="N139" s="9">
        <f>DATEDIF(B139,TODAY(),"d")</f>
        <v/>
      </c>
      <c r="O139" s="10">
        <f>NOW()</f>
        <v/>
      </c>
    </row>
    <row r="140">
      <c r="A140" s="5" t="inlineStr">
        <is>
          <t>T0139</t>
        </is>
      </c>
      <c r="B140" s="6" t="n">
        <v>45989</v>
      </c>
      <c r="C140" s="5" t="inlineStr">
        <is>
          <t>C004</t>
        </is>
      </c>
      <c r="D140" s="5" t="inlineStr">
        <is>
          <t>Anaya Desai</t>
        </is>
      </c>
      <c r="E140" s="5" t="inlineStr">
        <is>
          <t>West</t>
        </is>
      </c>
      <c r="F140" s="5" t="inlineStr">
        <is>
          <t>Backpack</t>
        </is>
      </c>
      <c r="G140" s="5" t="inlineStr">
        <is>
          <t>Lifestyle</t>
        </is>
      </c>
      <c r="H140" s="5" t="n">
        <v>4</v>
      </c>
      <c r="I140" s="7" t="n">
        <v>1499</v>
      </c>
      <c r="J140" s="8">
        <f>H140*I140</f>
        <v/>
      </c>
      <c r="K140" s="5" t="inlineStr">
        <is>
          <t>Net Banking</t>
        </is>
      </c>
      <c r="L140" s="5" t="inlineStr">
        <is>
          <t>Store</t>
        </is>
      </c>
      <c r="M140" s="9">
        <f>TEXT(B140,"mmm-yyyy")</f>
        <v/>
      </c>
      <c r="N140" s="9">
        <f>DATEDIF(B140,TODAY(),"d")</f>
        <v/>
      </c>
      <c r="O140" s="10">
        <f>NOW()</f>
        <v/>
      </c>
    </row>
    <row r="141">
      <c r="A141" s="5" t="inlineStr">
        <is>
          <t>T0140</t>
        </is>
      </c>
      <c r="B141" s="6" t="n">
        <v>46081</v>
      </c>
      <c r="C141" s="5" t="inlineStr">
        <is>
          <t>C002</t>
        </is>
      </c>
      <c r="D141" s="5" t="inlineStr">
        <is>
          <t>Diya Shah</t>
        </is>
      </c>
      <c r="E141" s="5" t="inlineStr">
        <is>
          <t>Central</t>
        </is>
      </c>
      <c r="F141" s="5" t="inlineStr">
        <is>
          <t>Notebook Pack</t>
        </is>
      </c>
      <c r="G141" s="5" t="inlineStr">
        <is>
          <t>Stationery</t>
        </is>
      </c>
      <c r="H141" s="5" t="n">
        <v>2</v>
      </c>
      <c r="I141" s="7" t="n">
        <v>249</v>
      </c>
      <c r="J141" s="8">
        <f>H141*I141</f>
        <v/>
      </c>
      <c r="K141" s="5" t="inlineStr">
        <is>
          <t>Cash</t>
        </is>
      </c>
      <c r="L141" s="5" t="inlineStr">
        <is>
          <t>Mobile App</t>
        </is>
      </c>
      <c r="M141" s="9">
        <f>TEXT(B141,"mmm-yyyy")</f>
        <v/>
      </c>
      <c r="N141" s="9">
        <f>DATEDIF(B141,TODAY(),"d")</f>
        <v/>
      </c>
      <c r="O141" s="10">
        <f>NOW()</f>
        <v/>
      </c>
    </row>
    <row r="142">
      <c r="A142" s="5" t="inlineStr">
        <is>
          <t>T0141</t>
        </is>
      </c>
      <c r="B142" s="6" t="n">
        <v>46110</v>
      </c>
      <c r="C142" s="5" t="inlineStr">
        <is>
          <t>C025</t>
        </is>
      </c>
      <c r="D142" s="5" t="inlineStr">
        <is>
          <t>Neil Trivedi</t>
        </is>
      </c>
      <c r="E142" s="5" t="inlineStr">
        <is>
          <t>Central</t>
        </is>
      </c>
      <c r="F142" s="5" t="inlineStr">
        <is>
          <t>Wireless Mouse</t>
        </is>
      </c>
      <c r="G142" s="5" t="inlineStr">
        <is>
          <t>Electronics</t>
        </is>
      </c>
      <c r="H142" s="5" t="n">
        <v>1</v>
      </c>
      <c r="I142" s="7" t="n">
        <v>799</v>
      </c>
      <c r="J142" s="8">
        <f>H142*I142</f>
        <v/>
      </c>
      <c r="K142" s="5" t="inlineStr">
        <is>
          <t>Credit Card</t>
        </is>
      </c>
      <c r="L142" s="5" t="inlineStr">
        <is>
          <t>Store</t>
        </is>
      </c>
      <c r="M142" s="9">
        <f>TEXT(B142,"mmm-yyyy")</f>
        <v/>
      </c>
      <c r="N142" s="9">
        <f>DATEDIF(B142,TODAY(),"d")</f>
        <v/>
      </c>
      <c r="O142" s="10">
        <f>NOW()</f>
        <v/>
      </c>
    </row>
    <row r="143">
      <c r="A143" s="5" t="inlineStr">
        <is>
          <t>T0142</t>
        </is>
      </c>
      <c r="B143" s="6" t="n">
        <v>46106</v>
      </c>
      <c r="C143" s="5" t="inlineStr">
        <is>
          <t>C029</t>
        </is>
      </c>
      <c r="D143" s="5" t="inlineStr">
        <is>
          <t>Om Patel</t>
        </is>
      </c>
      <c r="E143" s="5" t="inlineStr">
        <is>
          <t>Central</t>
        </is>
      </c>
      <c r="F143" s="5" t="inlineStr">
        <is>
          <t>Desk Lamp</t>
        </is>
      </c>
      <c r="G143" s="5" t="inlineStr">
        <is>
          <t>Home</t>
        </is>
      </c>
      <c r="H143" s="5" t="n">
        <v>1</v>
      </c>
      <c r="I143" s="7" t="n">
        <v>1099</v>
      </c>
      <c r="J143" s="8">
        <f>H143*I143</f>
        <v/>
      </c>
      <c r="K143" s="5" t="inlineStr">
        <is>
          <t>Credit Card</t>
        </is>
      </c>
      <c r="L143" s="5" t="inlineStr">
        <is>
          <t>Mobile App</t>
        </is>
      </c>
      <c r="M143" s="9">
        <f>TEXT(B143,"mmm-yyyy")</f>
        <v/>
      </c>
      <c r="N143" s="9">
        <f>DATEDIF(B143,TODAY(),"d")</f>
        <v/>
      </c>
      <c r="O143" s="10">
        <f>NOW()</f>
        <v/>
      </c>
    </row>
    <row r="144">
      <c r="A144" s="5" t="inlineStr">
        <is>
          <t>T0143</t>
        </is>
      </c>
      <c r="B144" s="6" t="n">
        <v>45820</v>
      </c>
      <c r="C144" s="5" t="inlineStr">
        <is>
          <t>C010</t>
        </is>
      </c>
      <c r="D144" s="5" t="inlineStr">
        <is>
          <t>Sara Mehta</t>
        </is>
      </c>
      <c r="E144" s="5" t="inlineStr">
        <is>
          <t>East</t>
        </is>
      </c>
      <c r="F144" s="5" t="inlineStr">
        <is>
          <t>Coffee Mug</t>
        </is>
      </c>
      <c r="G144" s="5" t="inlineStr">
        <is>
          <t>Home</t>
        </is>
      </c>
      <c r="H144" s="5" t="n">
        <v>1</v>
      </c>
      <c r="I144" s="7" t="n">
        <v>349</v>
      </c>
      <c r="J144" s="8">
        <f>H144*I144</f>
        <v/>
      </c>
      <c r="K144" s="5" t="inlineStr">
        <is>
          <t>UPI</t>
        </is>
      </c>
      <c r="L144" s="5" t="inlineStr">
        <is>
          <t>Online</t>
        </is>
      </c>
      <c r="M144" s="9">
        <f>TEXT(B144,"mmm-yyyy")</f>
        <v/>
      </c>
      <c r="N144" s="9">
        <f>DATEDIF(B144,TODAY(),"d")</f>
        <v/>
      </c>
      <c r="O144" s="10">
        <f>NOW()</f>
        <v/>
      </c>
    </row>
    <row r="145">
      <c r="A145" s="5" t="inlineStr">
        <is>
          <t>T0144</t>
        </is>
      </c>
      <c r="B145" s="6" t="n">
        <v>45774</v>
      </c>
      <c r="C145" s="5" t="inlineStr">
        <is>
          <t>C015</t>
        </is>
      </c>
      <c r="D145" s="5" t="inlineStr">
        <is>
          <t>Dev Shah</t>
        </is>
      </c>
      <c r="E145" s="5" t="inlineStr">
        <is>
          <t>North</t>
        </is>
      </c>
      <c r="F145" s="5" t="inlineStr">
        <is>
          <t>Keyboard</t>
        </is>
      </c>
      <c r="G145" s="5" t="inlineStr">
        <is>
          <t>Electronics</t>
        </is>
      </c>
      <c r="H145" s="5" t="n">
        <v>3</v>
      </c>
      <c r="I145" s="7" t="n">
        <v>1299</v>
      </c>
      <c r="J145" s="8">
        <f>H145*I145</f>
        <v/>
      </c>
      <c r="K145" s="5" t="inlineStr">
        <is>
          <t>Cash</t>
        </is>
      </c>
      <c r="L145" s="5" t="inlineStr">
        <is>
          <t>Mobile App</t>
        </is>
      </c>
      <c r="M145" s="9">
        <f>TEXT(B145,"mmm-yyyy")</f>
        <v/>
      </c>
      <c r="N145" s="9">
        <f>DATEDIF(B145,TODAY(),"d")</f>
        <v/>
      </c>
      <c r="O145" s="10">
        <f>NOW()</f>
        <v/>
      </c>
    </row>
    <row r="146">
      <c r="A146" s="5" t="inlineStr">
        <is>
          <t>T0145</t>
        </is>
      </c>
      <c r="B146" s="6" t="n">
        <v>45956</v>
      </c>
      <c r="C146" s="5" t="inlineStr">
        <is>
          <t>C017</t>
        </is>
      </c>
      <c r="D146" s="5" t="inlineStr">
        <is>
          <t>Kabir Mehta</t>
        </is>
      </c>
      <c r="E146" s="5" t="inlineStr">
        <is>
          <t>East</t>
        </is>
      </c>
      <c r="F146" s="5" t="inlineStr">
        <is>
          <t>Premium Pen</t>
        </is>
      </c>
      <c r="G146" s="5" t="inlineStr">
        <is>
          <t>Stationery</t>
        </is>
      </c>
      <c r="H146" s="5" t="n">
        <v>2</v>
      </c>
      <c r="I146" s="7" t="n">
        <v>399</v>
      </c>
      <c r="J146" s="8">
        <f>H146*I146</f>
        <v/>
      </c>
      <c r="K146" s="5" t="inlineStr">
        <is>
          <t>Cash</t>
        </is>
      </c>
      <c r="L146" s="5" t="inlineStr">
        <is>
          <t>Online</t>
        </is>
      </c>
      <c r="M146" s="9">
        <f>TEXT(B146,"mmm-yyyy")</f>
        <v/>
      </c>
      <c r="N146" s="9">
        <f>DATEDIF(B146,TODAY(),"d")</f>
        <v/>
      </c>
      <c r="O146" s="10">
        <f>NOW()</f>
        <v/>
      </c>
    </row>
    <row r="147">
      <c r="A147" s="5" t="inlineStr">
        <is>
          <t>T0146</t>
        </is>
      </c>
      <c r="B147" s="6" t="n">
        <v>46125</v>
      </c>
      <c r="C147" s="5" t="inlineStr">
        <is>
          <t>C018</t>
        </is>
      </c>
      <c r="D147" s="5" t="inlineStr">
        <is>
          <t>Navya Desai</t>
        </is>
      </c>
      <c r="E147" s="5" t="inlineStr">
        <is>
          <t>Central</t>
        </is>
      </c>
      <c r="F147" s="5" t="inlineStr">
        <is>
          <t>USB-C Hub</t>
        </is>
      </c>
      <c r="G147" s="5" t="inlineStr">
        <is>
          <t>Electronics</t>
        </is>
      </c>
      <c r="H147" s="5" t="n">
        <v>2</v>
      </c>
      <c r="I147" s="7" t="n">
        <v>1899</v>
      </c>
      <c r="J147" s="8">
        <f>H147*I147</f>
        <v/>
      </c>
      <c r="K147" s="5" t="inlineStr">
        <is>
          <t>Net Banking</t>
        </is>
      </c>
      <c r="L147" s="5" t="inlineStr">
        <is>
          <t>Mobile App</t>
        </is>
      </c>
      <c r="M147" s="9">
        <f>TEXT(B147,"mmm-yyyy")</f>
        <v/>
      </c>
      <c r="N147" s="9">
        <f>DATEDIF(B147,TODAY(),"d")</f>
        <v/>
      </c>
      <c r="O147" s="10">
        <f>NOW()</f>
        <v/>
      </c>
    </row>
    <row r="148">
      <c r="A148" s="5" t="inlineStr">
        <is>
          <t>T0147</t>
        </is>
      </c>
      <c r="B148" s="6" t="n">
        <v>45797</v>
      </c>
      <c r="C148" s="5" t="inlineStr">
        <is>
          <t>C028</t>
        </is>
      </c>
      <c r="D148" s="5" t="inlineStr">
        <is>
          <t>Tara Shah</t>
        </is>
      </c>
      <c r="E148" s="5" t="inlineStr">
        <is>
          <t>East</t>
        </is>
      </c>
      <c r="F148" s="5" t="inlineStr">
        <is>
          <t>Keyboard</t>
        </is>
      </c>
      <c r="G148" s="5" t="inlineStr">
        <is>
          <t>Electronics</t>
        </is>
      </c>
      <c r="H148" s="5" t="n">
        <v>1</v>
      </c>
      <c r="I148" s="7" t="n">
        <v>1299</v>
      </c>
      <c r="J148" s="8">
        <f>H148*I148</f>
        <v/>
      </c>
      <c r="K148" s="5" t="inlineStr">
        <is>
          <t>Debit Card</t>
        </is>
      </c>
      <c r="L148" s="5" t="inlineStr">
        <is>
          <t>Mobile App</t>
        </is>
      </c>
      <c r="M148" s="9">
        <f>TEXT(B148,"mmm-yyyy")</f>
        <v/>
      </c>
      <c r="N148" s="9">
        <f>DATEDIF(B148,TODAY(),"d")</f>
        <v/>
      </c>
      <c r="O148" s="10">
        <f>NOW()</f>
        <v/>
      </c>
    </row>
    <row r="149">
      <c r="A149" s="5" t="inlineStr">
        <is>
          <t>T0148</t>
        </is>
      </c>
      <c r="B149" s="6" t="n">
        <v>45931</v>
      </c>
      <c r="C149" s="5" t="inlineStr">
        <is>
          <t>C027</t>
        </is>
      </c>
      <c r="D149" s="5" t="inlineStr">
        <is>
          <t>Ayaan Desai</t>
        </is>
      </c>
      <c r="E149" s="5" t="inlineStr">
        <is>
          <t>South</t>
        </is>
      </c>
      <c r="F149" s="5" t="inlineStr">
        <is>
          <t>Wireless Mouse</t>
        </is>
      </c>
      <c r="G149" s="5" t="inlineStr">
        <is>
          <t>Electronics</t>
        </is>
      </c>
      <c r="H149" s="5" t="n">
        <v>1</v>
      </c>
      <c r="I149" s="7" t="n">
        <v>799</v>
      </c>
      <c r="J149" s="8">
        <f>H149*I149</f>
        <v/>
      </c>
      <c r="K149" s="5" t="inlineStr">
        <is>
          <t>Net Banking</t>
        </is>
      </c>
      <c r="L149" s="5" t="inlineStr">
        <is>
          <t>Mobile App</t>
        </is>
      </c>
      <c r="M149" s="9">
        <f>TEXT(B149,"mmm-yyyy")</f>
        <v/>
      </c>
      <c r="N149" s="9">
        <f>DATEDIF(B149,TODAY(),"d")</f>
        <v/>
      </c>
      <c r="O149" s="10">
        <f>NOW()</f>
        <v/>
      </c>
    </row>
    <row r="150">
      <c r="A150" s="5" t="inlineStr">
        <is>
          <t>T0149</t>
        </is>
      </c>
      <c r="B150" s="6" t="n">
        <v>46159</v>
      </c>
      <c r="C150" s="5" t="inlineStr">
        <is>
          <t>C028</t>
        </is>
      </c>
      <c r="D150" s="5" t="inlineStr">
        <is>
          <t>Tara Shah</t>
        </is>
      </c>
      <c r="E150" s="5" t="inlineStr">
        <is>
          <t>East</t>
        </is>
      </c>
      <c r="F150" s="5" t="inlineStr">
        <is>
          <t>USB-C Hub</t>
        </is>
      </c>
      <c r="G150" s="5" t="inlineStr">
        <is>
          <t>Electronics</t>
        </is>
      </c>
      <c r="H150" s="5" t="n">
        <v>2</v>
      </c>
      <c r="I150" s="7" t="n">
        <v>1899</v>
      </c>
      <c r="J150" s="8">
        <f>H150*I150</f>
        <v/>
      </c>
      <c r="K150" s="5" t="inlineStr">
        <is>
          <t>Debit Card</t>
        </is>
      </c>
      <c r="L150" s="5" t="inlineStr">
        <is>
          <t>Store</t>
        </is>
      </c>
      <c r="M150" s="9">
        <f>TEXT(B150,"mmm-yyyy")</f>
        <v/>
      </c>
      <c r="N150" s="9">
        <f>DATEDIF(B150,TODAY(),"d")</f>
        <v/>
      </c>
      <c r="O150" s="10">
        <f>NOW()</f>
        <v/>
      </c>
    </row>
    <row r="151">
      <c r="A151" s="5" t="inlineStr">
        <is>
          <t>T0150</t>
        </is>
      </c>
      <c r="B151" s="6" t="n">
        <v>46223</v>
      </c>
      <c r="C151" s="5" t="inlineStr">
        <is>
          <t>C025</t>
        </is>
      </c>
      <c r="D151" s="5" t="inlineStr">
        <is>
          <t>Neil Trivedi</t>
        </is>
      </c>
      <c r="E151" s="5" t="inlineStr">
        <is>
          <t>South</t>
        </is>
      </c>
      <c r="F151" s="5" t="inlineStr">
        <is>
          <t>Coffee Mug</t>
        </is>
      </c>
      <c r="G151" s="5" t="inlineStr">
        <is>
          <t>Home</t>
        </is>
      </c>
      <c r="H151" s="5" t="n">
        <v>2</v>
      </c>
      <c r="I151" s="7" t="n">
        <v>349</v>
      </c>
      <c r="J151" s="8">
        <f>H151*I151</f>
        <v/>
      </c>
      <c r="K151" s="5" t="inlineStr">
        <is>
          <t>Credit Card</t>
        </is>
      </c>
      <c r="L151" s="5" t="inlineStr">
        <is>
          <t>Mobile App</t>
        </is>
      </c>
      <c r="M151" s="9">
        <f>TEXT(B151,"mmm-yyyy")</f>
        <v/>
      </c>
      <c r="N151" s="9">
        <f>DATEDIF(B151,TODAY(),"d")</f>
        <v/>
      </c>
      <c r="O151" s="10">
        <f>NOW()</f>
        <v/>
      </c>
    </row>
    <row r="152">
      <c r="A152" s="5" t="inlineStr">
        <is>
          <t>T0151</t>
        </is>
      </c>
      <c r="B152" s="6" t="n">
        <v>45902</v>
      </c>
      <c r="C152" s="5" t="inlineStr">
        <is>
          <t>C019</t>
        </is>
      </c>
      <c r="D152" s="5" t="inlineStr">
        <is>
          <t>Dhruv Joshi</t>
        </is>
      </c>
      <c r="E152" s="5" t="inlineStr">
        <is>
          <t>East</t>
        </is>
      </c>
      <c r="F152" s="5" t="inlineStr">
        <is>
          <t>Backpack</t>
        </is>
      </c>
      <c r="G152" s="5" t="inlineStr">
        <is>
          <t>Lifestyle</t>
        </is>
      </c>
      <c r="H152" s="5" t="n">
        <v>1</v>
      </c>
      <c r="I152" s="7" t="n">
        <v>1499</v>
      </c>
      <c r="J152" s="8">
        <f>H152*I152</f>
        <v/>
      </c>
      <c r="K152" s="5" t="inlineStr">
        <is>
          <t>UPI</t>
        </is>
      </c>
      <c r="L152" s="5" t="inlineStr">
        <is>
          <t>Store</t>
        </is>
      </c>
      <c r="M152" s="9">
        <f>TEXT(B152,"mmm-yyyy")</f>
        <v/>
      </c>
      <c r="N152" s="9">
        <f>DATEDIF(B152,TODAY(),"d")</f>
        <v/>
      </c>
      <c r="O152" s="10">
        <f>NOW()</f>
        <v/>
      </c>
    </row>
    <row r="153">
      <c r="A153" s="5" t="inlineStr">
        <is>
          <t>T0152</t>
        </is>
      </c>
      <c r="B153" s="6" t="n">
        <v>46142</v>
      </c>
      <c r="C153" s="5" t="inlineStr">
        <is>
          <t>C023</t>
        </is>
      </c>
      <c r="D153" s="5" t="inlineStr">
        <is>
          <t>Yash Mehta</t>
        </is>
      </c>
      <c r="E153" s="5" t="inlineStr">
        <is>
          <t>North</t>
        </is>
      </c>
      <c r="F153" s="5" t="inlineStr">
        <is>
          <t>Backpack</t>
        </is>
      </c>
      <c r="G153" s="5" t="inlineStr">
        <is>
          <t>Lifestyle</t>
        </is>
      </c>
      <c r="H153" s="5" t="n">
        <v>2</v>
      </c>
      <c r="I153" s="7" t="n">
        <v>1499</v>
      </c>
      <c r="J153" s="8">
        <f>H153*I153</f>
        <v/>
      </c>
      <c r="K153" s="5" t="inlineStr">
        <is>
          <t>Cash</t>
        </is>
      </c>
      <c r="L153" s="5" t="inlineStr">
        <is>
          <t>Online</t>
        </is>
      </c>
      <c r="M153" s="9">
        <f>TEXT(B153,"mmm-yyyy")</f>
        <v/>
      </c>
      <c r="N153" s="9">
        <f>DATEDIF(B153,TODAY(),"d")</f>
        <v/>
      </c>
      <c r="O153" s="10">
        <f>NOW()</f>
        <v/>
      </c>
    </row>
    <row r="154">
      <c r="A154" s="5" t="inlineStr">
        <is>
          <t>T0153</t>
        </is>
      </c>
      <c r="B154" s="6" t="n">
        <v>45787</v>
      </c>
      <c r="C154" s="5" t="inlineStr">
        <is>
          <t>C017</t>
        </is>
      </c>
      <c r="D154" s="5" t="inlineStr">
        <is>
          <t>Kabir Mehta</t>
        </is>
      </c>
      <c r="E154" s="5" t="inlineStr">
        <is>
          <t>West</t>
        </is>
      </c>
      <c r="F154" s="5" t="inlineStr">
        <is>
          <t>Headphones</t>
        </is>
      </c>
      <c r="G154" s="5" t="inlineStr">
        <is>
          <t>Electronics</t>
        </is>
      </c>
      <c r="H154" s="5" t="n">
        <v>1</v>
      </c>
      <c r="I154" s="7" t="n">
        <v>2499</v>
      </c>
      <c r="J154" s="8">
        <f>H154*I154</f>
        <v/>
      </c>
      <c r="K154" s="5" t="inlineStr">
        <is>
          <t>Cash</t>
        </is>
      </c>
      <c r="L154" s="5" t="inlineStr">
        <is>
          <t>Online</t>
        </is>
      </c>
      <c r="M154" s="9">
        <f>TEXT(B154,"mmm-yyyy")</f>
        <v/>
      </c>
      <c r="N154" s="9">
        <f>DATEDIF(B154,TODAY(),"d")</f>
        <v/>
      </c>
      <c r="O154" s="10">
        <f>NOW()</f>
        <v/>
      </c>
    </row>
    <row r="155">
      <c r="A155" s="5" t="inlineStr">
        <is>
          <t>T0154</t>
        </is>
      </c>
      <c r="B155" s="6" t="n">
        <v>46196</v>
      </c>
      <c r="C155" s="5" t="inlineStr">
        <is>
          <t>C030</t>
        </is>
      </c>
      <c r="D155" s="5" t="inlineStr">
        <is>
          <t>Zoya Mehta</t>
        </is>
      </c>
      <c r="E155" s="5" t="inlineStr">
        <is>
          <t>North</t>
        </is>
      </c>
      <c r="F155" s="5" t="inlineStr">
        <is>
          <t>Desk Lamp</t>
        </is>
      </c>
      <c r="G155" s="5" t="inlineStr">
        <is>
          <t>Home</t>
        </is>
      </c>
      <c r="H155" s="5" t="n">
        <v>1</v>
      </c>
      <c r="I155" s="7" t="n">
        <v>1099</v>
      </c>
      <c r="J155" s="8">
        <f>H155*I155</f>
        <v/>
      </c>
      <c r="K155" s="5" t="inlineStr">
        <is>
          <t>Cash</t>
        </is>
      </c>
      <c r="L155" s="5" t="inlineStr">
        <is>
          <t>Mobile App</t>
        </is>
      </c>
      <c r="M155" s="9">
        <f>TEXT(B155,"mmm-yyyy")</f>
        <v/>
      </c>
      <c r="N155" s="9">
        <f>DATEDIF(B155,TODAY(),"d")</f>
        <v/>
      </c>
      <c r="O155" s="10">
        <f>NOW()</f>
        <v/>
      </c>
    </row>
    <row r="156">
      <c r="A156" s="5" t="inlineStr">
        <is>
          <t>T0155</t>
        </is>
      </c>
      <c r="B156" s="6" t="n">
        <v>45816</v>
      </c>
      <c r="C156" s="5" t="inlineStr">
        <is>
          <t>C003</t>
        </is>
      </c>
      <c r="D156" s="5" t="inlineStr">
        <is>
          <t>Vivaan Mehta</t>
        </is>
      </c>
      <c r="E156" s="5" t="inlineStr">
        <is>
          <t>South</t>
        </is>
      </c>
      <c r="F156" s="5" t="inlineStr">
        <is>
          <t>Desk Lamp</t>
        </is>
      </c>
      <c r="G156" s="5" t="inlineStr">
        <is>
          <t>Home</t>
        </is>
      </c>
      <c r="H156" s="5" t="n">
        <v>3</v>
      </c>
      <c r="I156" s="7" t="n">
        <v>1099</v>
      </c>
      <c r="J156" s="8">
        <f>H156*I156</f>
        <v/>
      </c>
      <c r="K156" s="5" t="inlineStr">
        <is>
          <t>Debit Card</t>
        </is>
      </c>
      <c r="L156" s="5" t="inlineStr">
        <is>
          <t>Mobile App</t>
        </is>
      </c>
      <c r="M156" s="9">
        <f>TEXT(B156,"mmm-yyyy")</f>
        <v/>
      </c>
      <c r="N156" s="9">
        <f>DATEDIF(B156,TODAY(),"d")</f>
        <v/>
      </c>
      <c r="O156" s="10">
        <f>NOW()</f>
        <v/>
      </c>
    </row>
    <row r="157">
      <c r="A157" s="5" t="inlineStr">
        <is>
          <t>T0156</t>
        </is>
      </c>
      <c r="B157" s="6" t="n">
        <v>46065</v>
      </c>
      <c r="C157" s="5" t="inlineStr">
        <is>
          <t>C021</t>
        </is>
      </c>
      <c r="D157" s="5" t="inlineStr">
        <is>
          <t>Manav Shah</t>
        </is>
      </c>
      <c r="E157" s="5" t="inlineStr">
        <is>
          <t>Central</t>
        </is>
      </c>
      <c r="F157" s="5" t="inlineStr">
        <is>
          <t>Keyboard</t>
        </is>
      </c>
      <c r="G157" s="5" t="inlineStr">
        <is>
          <t>Electronics</t>
        </is>
      </c>
      <c r="H157" s="5" t="n">
        <v>4</v>
      </c>
      <c r="I157" s="7" t="n">
        <v>1299</v>
      </c>
      <c r="J157" s="8">
        <f>H157*I157</f>
        <v/>
      </c>
      <c r="K157" s="5" t="inlineStr">
        <is>
          <t>Cash</t>
        </is>
      </c>
      <c r="L157" s="5" t="inlineStr">
        <is>
          <t>Store</t>
        </is>
      </c>
      <c r="M157" s="9">
        <f>TEXT(B157,"mmm-yyyy")</f>
        <v/>
      </c>
      <c r="N157" s="9">
        <f>DATEDIF(B157,TODAY(),"d")</f>
        <v/>
      </c>
      <c r="O157" s="10">
        <f>NOW()</f>
        <v/>
      </c>
    </row>
    <row r="158">
      <c r="A158" s="5" t="inlineStr">
        <is>
          <t>T0157</t>
        </is>
      </c>
      <c r="B158" s="6" t="n">
        <v>46299</v>
      </c>
      <c r="C158" s="5" t="inlineStr">
        <is>
          <t>C023</t>
        </is>
      </c>
      <c r="D158" s="5" t="inlineStr">
        <is>
          <t>Yash Mehta</t>
        </is>
      </c>
      <c r="E158" s="5" t="inlineStr">
        <is>
          <t>West</t>
        </is>
      </c>
      <c r="F158" s="5" t="inlineStr">
        <is>
          <t>Desk Lamp</t>
        </is>
      </c>
      <c r="G158" s="5" t="inlineStr">
        <is>
          <t>Home</t>
        </is>
      </c>
      <c r="H158" s="5" t="n">
        <v>4</v>
      </c>
      <c r="I158" s="7" t="n">
        <v>1099</v>
      </c>
      <c r="J158" s="8">
        <f>H158*I158</f>
        <v/>
      </c>
      <c r="K158" s="5" t="inlineStr">
        <is>
          <t>Net Banking</t>
        </is>
      </c>
      <c r="L158" s="5" t="inlineStr">
        <is>
          <t>Online</t>
        </is>
      </c>
      <c r="M158" s="9">
        <f>TEXT(B158,"mmm-yyyy")</f>
        <v/>
      </c>
      <c r="N158" s="9">
        <f>DATEDIF(B158,TODAY(),"d")</f>
        <v/>
      </c>
      <c r="O158" s="10">
        <f>NOW()</f>
        <v/>
      </c>
    </row>
    <row r="159">
      <c r="A159" s="5" t="inlineStr">
        <is>
          <t>T0158</t>
        </is>
      </c>
      <c r="B159" s="6" t="n">
        <v>45898</v>
      </c>
      <c r="C159" s="5" t="inlineStr">
        <is>
          <t>C021</t>
        </is>
      </c>
      <c r="D159" s="5" t="inlineStr">
        <is>
          <t>Manav Shah</t>
        </is>
      </c>
      <c r="E159" s="5" t="inlineStr">
        <is>
          <t>West</t>
        </is>
      </c>
      <c r="F159" s="5" t="inlineStr">
        <is>
          <t>Premium Pen</t>
        </is>
      </c>
      <c r="G159" s="5" t="inlineStr">
        <is>
          <t>Stationery</t>
        </is>
      </c>
      <c r="H159" s="5" t="n">
        <v>6</v>
      </c>
      <c r="I159" s="7" t="n">
        <v>399</v>
      </c>
      <c r="J159" s="8">
        <f>H159*I159</f>
        <v/>
      </c>
      <c r="K159" s="5" t="inlineStr">
        <is>
          <t>Cash</t>
        </is>
      </c>
      <c r="L159" s="5" t="inlineStr">
        <is>
          <t>Online</t>
        </is>
      </c>
      <c r="M159" s="9">
        <f>TEXT(B159,"mmm-yyyy")</f>
        <v/>
      </c>
      <c r="N159" s="9">
        <f>DATEDIF(B159,TODAY(),"d")</f>
        <v/>
      </c>
      <c r="O159" s="10">
        <f>NOW()</f>
        <v/>
      </c>
    </row>
    <row r="160">
      <c r="A160" s="5" t="inlineStr">
        <is>
          <t>T0159</t>
        </is>
      </c>
      <c r="B160" s="6" t="n">
        <v>46306</v>
      </c>
      <c r="C160" s="5" t="inlineStr">
        <is>
          <t>C023</t>
        </is>
      </c>
      <c r="D160" s="5" t="inlineStr">
        <is>
          <t>Yash Mehta</t>
        </is>
      </c>
      <c r="E160" s="5" t="inlineStr">
        <is>
          <t>South</t>
        </is>
      </c>
      <c r="F160" s="5" t="inlineStr">
        <is>
          <t>Keyboard</t>
        </is>
      </c>
      <c r="G160" s="5" t="inlineStr">
        <is>
          <t>Electronics</t>
        </is>
      </c>
      <c r="H160" s="5" t="n">
        <v>2</v>
      </c>
      <c r="I160" s="7" t="n">
        <v>1299</v>
      </c>
      <c r="J160" s="8">
        <f>H160*I160</f>
        <v/>
      </c>
      <c r="K160" s="5" t="inlineStr">
        <is>
          <t>UPI</t>
        </is>
      </c>
      <c r="L160" s="5" t="inlineStr">
        <is>
          <t>Online</t>
        </is>
      </c>
      <c r="M160" s="9">
        <f>TEXT(B160,"mmm-yyyy")</f>
        <v/>
      </c>
      <c r="N160" s="9">
        <f>DATEDIF(B160,TODAY(),"d")</f>
        <v/>
      </c>
      <c r="O160" s="10">
        <f>NOW()</f>
        <v/>
      </c>
    </row>
    <row r="161">
      <c r="A161" s="5" t="inlineStr">
        <is>
          <t>T0160</t>
        </is>
      </c>
      <c r="B161" s="6" t="n">
        <v>45990</v>
      </c>
      <c r="C161" s="5" t="inlineStr">
        <is>
          <t>C026</t>
        </is>
      </c>
      <c r="D161" s="5" t="inlineStr">
        <is>
          <t>Mira Joshi</t>
        </is>
      </c>
      <c r="E161" s="5" t="inlineStr">
        <is>
          <t>South</t>
        </is>
      </c>
      <c r="F161" s="5" t="inlineStr">
        <is>
          <t>Wireless Mouse</t>
        </is>
      </c>
      <c r="G161" s="5" t="inlineStr">
        <is>
          <t>Electronics</t>
        </is>
      </c>
      <c r="H161" s="5" t="n">
        <v>1</v>
      </c>
      <c r="I161" s="7" t="n">
        <v>799</v>
      </c>
      <c r="J161" s="8">
        <f>H161*I161</f>
        <v/>
      </c>
      <c r="K161" s="5" t="inlineStr">
        <is>
          <t>Cash</t>
        </is>
      </c>
      <c r="L161" s="5" t="inlineStr">
        <is>
          <t>Online</t>
        </is>
      </c>
      <c r="M161" s="9">
        <f>TEXT(B161,"mmm-yyyy")</f>
        <v/>
      </c>
      <c r="N161" s="9">
        <f>DATEDIF(B161,TODAY(),"d")</f>
        <v/>
      </c>
      <c r="O161" s="10">
        <f>NOW()</f>
        <v/>
      </c>
    </row>
    <row r="162">
      <c r="A162" s="5" t="inlineStr">
        <is>
          <t>T0161</t>
        </is>
      </c>
      <c r="B162" s="6" t="n">
        <v>45908</v>
      </c>
      <c r="C162" s="5" t="inlineStr">
        <is>
          <t>C017</t>
        </is>
      </c>
      <c r="D162" s="5" t="inlineStr">
        <is>
          <t>Kabir Mehta</t>
        </is>
      </c>
      <c r="E162" s="5" t="inlineStr">
        <is>
          <t>North</t>
        </is>
      </c>
      <c r="F162" s="5" t="inlineStr">
        <is>
          <t>Backpack</t>
        </is>
      </c>
      <c r="G162" s="5" t="inlineStr">
        <is>
          <t>Lifestyle</t>
        </is>
      </c>
      <c r="H162" s="5" t="n">
        <v>2</v>
      </c>
      <c r="I162" s="7" t="n">
        <v>1499</v>
      </c>
      <c r="J162" s="8">
        <f>H162*I162</f>
        <v/>
      </c>
      <c r="K162" s="5" t="inlineStr">
        <is>
          <t>Credit Card</t>
        </is>
      </c>
      <c r="L162" s="5" t="inlineStr">
        <is>
          <t>Online</t>
        </is>
      </c>
      <c r="M162" s="9">
        <f>TEXT(B162,"mmm-yyyy")</f>
        <v/>
      </c>
      <c r="N162" s="9">
        <f>DATEDIF(B162,TODAY(),"d")</f>
        <v/>
      </c>
      <c r="O162" s="10">
        <f>NOW()</f>
        <v/>
      </c>
    </row>
    <row r="163">
      <c r="A163" s="5" t="inlineStr">
        <is>
          <t>T0162</t>
        </is>
      </c>
      <c r="B163" s="6" t="n">
        <v>45738</v>
      </c>
      <c r="C163" s="5" t="inlineStr">
        <is>
          <t>C020</t>
        </is>
      </c>
      <c r="D163" s="5" t="inlineStr">
        <is>
          <t>Riya Modi</t>
        </is>
      </c>
      <c r="E163" s="5" t="inlineStr">
        <is>
          <t>North</t>
        </is>
      </c>
      <c r="F163" s="5" t="inlineStr">
        <is>
          <t>Backpack</t>
        </is>
      </c>
      <c r="G163" s="5" t="inlineStr">
        <is>
          <t>Lifestyle</t>
        </is>
      </c>
      <c r="H163" s="5" t="n">
        <v>2</v>
      </c>
      <c r="I163" s="7" t="n">
        <v>1499</v>
      </c>
      <c r="J163" s="8">
        <f>H163*I163</f>
        <v/>
      </c>
      <c r="K163" s="5" t="inlineStr">
        <is>
          <t>Cash</t>
        </is>
      </c>
      <c r="L163" s="5" t="inlineStr">
        <is>
          <t>Mobile App</t>
        </is>
      </c>
      <c r="M163" s="9">
        <f>TEXT(B163,"mmm-yyyy")</f>
        <v/>
      </c>
      <c r="N163" s="9">
        <f>DATEDIF(B163,TODAY(),"d")</f>
        <v/>
      </c>
      <c r="O163" s="10">
        <f>NOW()</f>
        <v/>
      </c>
    </row>
    <row r="164">
      <c r="A164" s="5" t="inlineStr">
        <is>
          <t>T0163</t>
        </is>
      </c>
      <c r="B164" s="6" t="n">
        <v>45804</v>
      </c>
      <c r="C164" s="5" t="inlineStr">
        <is>
          <t>C008</t>
        </is>
      </c>
      <c r="D164" s="5" t="inlineStr">
        <is>
          <t>Myra Shah</t>
        </is>
      </c>
      <c r="E164" s="5" t="inlineStr">
        <is>
          <t>East</t>
        </is>
      </c>
      <c r="F164" s="5" t="inlineStr">
        <is>
          <t>Desk Lamp</t>
        </is>
      </c>
      <c r="G164" s="5" t="inlineStr">
        <is>
          <t>Home</t>
        </is>
      </c>
      <c r="H164" s="5" t="n">
        <v>3</v>
      </c>
      <c r="I164" s="7" t="n">
        <v>1099</v>
      </c>
      <c r="J164" s="8">
        <f>H164*I164</f>
        <v/>
      </c>
      <c r="K164" s="5" t="inlineStr">
        <is>
          <t>Debit Card</t>
        </is>
      </c>
      <c r="L164" s="5" t="inlineStr">
        <is>
          <t>Mobile App</t>
        </is>
      </c>
      <c r="M164" s="9">
        <f>TEXT(B164,"mmm-yyyy")</f>
        <v/>
      </c>
      <c r="N164" s="9">
        <f>DATEDIF(B164,TODAY(),"d")</f>
        <v/>
      </c>
      <c r="O164" s="10">
        <f>NOW()</f>
        <v/>
      </c>
    </row>
    <row r="165">
      <c r="A165" s="5" t="inlineStr">
        <is>
          <t>T0164</t>
        </is>
      </c>
      <c r="B165" s="6" t="n">
        <v>45667</v>
      </c>
      <c r="C165" s="5" t="inlineStr">
        <is>
          <t>C029</t>
        </is>
      </c>
      <c r="D165" s="5" t="inlineStr">
        <is>
          <t>Om Patel</t>
        </is>
      </c>
      <c r="E165" s="5" t="inlineStr">
        <is>
          <t>Central</t>
        </is>
      </c>
      <c r="F165" s="5" t="inlineStr">
        <is>
          <t>Desk Lamp</t>
        </is>
      </c>
      <c r="G165" s="5" t="inlineStr">
        <is>
          <t>Home</t>
        </is>
      </c>
      <c r="H165" s="5" t="n">
        <v>4</v>
      </c>
      <c r="I165" s="7" t="n">
        <v>1099</v>
      </c>
      <c r="J165" s="8">
        <f>H165*I165</f>
        <v/>
      </c>
      <c r="K165" s="5" t="inlineStr">
        <is>
          <t>Credit Card</t>
        </is>
      </c>
      <c r="L165" s="5" t="inlineStr">
        <is>
          <t>Online</t>
        </is>
      </c>
      <c r="M165" s="9">
        <f>TEXT(B165,"mmm-yyyy")</f>
        <v/>
      </c>
      <c r="N165" s="9">
        <f>DATEDIF(B165,TODAY(),"d")</f>
        <v/>
      </c>
      <c r="O165" s="10">
        <f>NOW()</f>
        <v/>
      </c>
    </row>
    <row r="166">
      <c r="A166" s="5" t="inlineStr">
        <is>
          <t>T0165</t>
        </is>
      </c>
      <c r="B166" s="6" t="n">
        <v>46110</v>
      </c>
      <c r="C166" s="5" t="inlineStr">
        <is>
          <t>C012</t>
        </is>
      </c>
      <c r="D166" s="5" t="inlineStr">
        <is>
          <t>Kiara Joshi</t>
        </is>
      </c>
      <c r="E166" s="5" t="inlineStr">
        <is>
          <t>East</t>
        </is>
      </c>
      <c r="F166" s="5" t="inlineStr">
        <is>
          <t>Headphones</t>
        </is>
      </c>
      <c r="G166" s="5" t="inlineStr">
        <is>
          <t>Electronics</t>
        </is>
      </c>
      <c r="H166" s="5" t="n">
        <v>1</v>
      </c>
      <c r="I166" s="7" t="n">
        <v>2499</v>
      </c>
      <c r="J166" s="8">
        <f>H166*I166</f>
        <v/>
      </c>
      <c r="K166" s="5" t="inlineStr">
        <is>
          <t>Debit Card</t>
        </is>
      </c>
      <c r="L166" s="5" t="inlineStr">
        <is>
          <t>Store</t>
        </is>
      </c>
      <c r="M166" s="9">
        <f>TEXT(B166,"mmm-yyyy")</f>
        <v/>
      </c>
      <c r="N166" s="9">
        <f>DATEDIF(B166,TODAY(),"d")</f>
        <v/>
      </c>
      <c r="O166" s="10">
        <f>NOW()</f>
        <v/>
      </c>
    </row>
    <row r="167">
      <c r="A167" s="5" t="inlineStr">
        <is>
          <t>T0166</t>
        </is>
      </c>
      <c r="B167" s="6" t="n">
        <v>45967</v>
      </c>
      <c r="C167" s="5" t="inlineStr">
        <is>
          <t>C007</t>
        </is>
      </c>
      <c r="D167" s="5" t="inlineStr">
        <is>
          <t>Reyansh Modi</t>
        </is>
      </c>
      <c r="E167" s="5" t="inlineStr">
        <is>
          <t>West</t>
        </is>
      </c>
      <c r="F167" s="5" t="inlineStr">
        <is>
          <t>Backpack</t>
        </is>
      </c>
      <c r="G167" s="5" t="inlineStr">
        <is>
          <t>Lifestyle</t>
        </is>
      </c>
      <c r="H167" s="5" t="n">
        <v>4</v>
      </c>
      <c r="I167" s="7" t="n">
        <v>1499</v>
      </c>
      <c r="J167" s="8">
        <f>H167*I167</f>
        <v/>
      </c>
      <c r="K167" s="5" t="inlineStr">
        <is>
          <t>Credit Card</t>
        </is>
      </c>
      <c r="L167" s="5" t="inlineStr">
        <is>
          <t>Store</t>
        </is>
      </c>
      <c r="M167" s="9">
        <f>TEXT(B167,"mmm-yyyy")</f>
        <v/>
      </c>
      <c r="N167" s="9">
        <f>DATEDIF(B167,TODAY(),"d")</f>
        <v/>
      </c>
      <c r="O167" s="10">
        <f>NOW()</f>
        <v/>
      </c>
    </row>
    <row r="168">
      <c r="A168" s="5" t="inlineStr">
        <is>
          <t>T0167</t>
        </is>
      </c>
      <c r="B168" s="6" t="n">
        <v>46243</v>
      </c>
      <c r="C168" s="5" t="inlineStr">
        <is>
          <t>C012</t>
        </is>
      </c>
      <c r="D168" s="5" t="inlineStr">
        <is>
          <t>Kiara Joshi</t>
        </is>
      </c>
      <c r="E168" s="5" t="inlineStr">
        <is>
          <t>South</t>
        </is>
      </c>
      <c r="F168" s="5" t="inlineStr">
        <is>
          <t>Headphones</t>
        </is>
      </c>
      <c r="G168" s="5" t="inlineStr">
        <is>
          <t>Electronics</t>
        </is>
      </c>
      <c r="H168" s="5" t="n">
        <v>1</v>
      </c>
      <c r="I168" s="7" t="n">
        <v>2499</v>
      </c>
      <c r="J168" s="8">
        <f>H168*I168</f>
        <v/>
      </c>
      <c r="K168" s="5" t="inlineStr">
        <is>
          <t>UPI</t>
        </is>
      </c>
      <c r="L168" s="5" t="inlineStr">
        <is>
          <t>Mobile App</t>
        </is>
      </c>
      <c r="M168" s="9">
        <f>TEXT(B168,"mmm-yyyy")</f>
        <v/>
      </c>
      <c r="N168" s="9">
        <f>DATEDIF(B168,TODAY(),"d")</f>
        <v/>
      </c>
      <c r="O168" s="10">
        <f>NOW()</f>
        <v/>
      </c>
    </row>
    <row r="169">
      <c r="A169" s="5" t="inlineStr">
        <is>
          <t>T0168</t>
        </is>
      </c>
      <c r="B169" s="6" t="n">
        <v>46063</v>
      </c>
      <c r="C169" s="5" t="inlineStr">
        <is>
          <t>C009</t>
        </is>
      </c>
      <c r="D169" s="5" t="inlineStr">
        <is>
          <t>Aditya Patel</t>
        </is>
      </c>
      <c r="E169" s="5" t="inlineStr">
        <is>
          <t>West</t>
        </is>
      </c>
      <c r="F169" s="5" t="inlineStr">
        <is>
          <t>Wireless Mouse</t>
        </is>
      </c>
      <c r="G169" s="5" t="inlineStr">
        <is>
          <t>Electronics</t>
        </is>
      </c>
      <c r="H169" s="5" t="n">
        <v>2</v>
      </c>
      <c r="I169" s="7" t="n">
        <v>799</v>
      </c>
      <c r="J169" s="8">
        <f>H169*I169</f>
        <v/>
      </c>
      <c r="K169" s="5" t="inlineStr">
        <is>
          <t>Net Banking</t>
        </is>
      </c>
      <c r="L169" s="5" t="inlineStr">
        <is>
          <t>Mobile App</t>
        </is>
      </c>
      <c r="M169" s="9">
        <f>TEXT(B169,"mmm-yyyy")</f>
        <v/>
      </c>
      <c r="N169" s="9">
        <f>DATEDIF(B169,TODAY(),"d")</f>
        <v/>
      </c>
      <c r="O169" s="10">
        <f>NOW()</f>
        <v/>
      </c>
    </row>
    <row r="170">
      <c r="A170" s="5" t="inlineStr">
        <is>
          <t>T0169</t>
        </is>
      </c>
      <c r="B170" s="6" t="n">
        <v>46166</v>
      </c>
      <c r="C170" s="5" t="inlineStr">
        <is>
          <t>C027</t>
        </is>
      </c>
      <c r="D170" s="5" t="inlineStr">
        <is>
          <t>Ayaan Desai</t>
        </is>
      </c>
      <c r="E170" s="5" t="inlineStr">
        <is>
          <t>North</t>
        </is>
      </c>
      <c r="F170" s="5" t="inlineStr">
        <is>
          <t>Premium Pen</t>
        </is>
      </c>
      <c r="G170" s="5" t="inlineStr">
        <is>
          <t>Stationery</t>
        </is>
      </c>
      <c r="H170" s="5" t="n">
        <v>3</v>
      </c>
      <c r="I170" s="7" t="n">
        <v>399</v>
      </c>
      <c r="J170" s="8">
        <f>H170*I170</f>
        <v/>
      </c>
      <c r="K170" s="5" t="inlineStr">
        <is>
          <t>Net Banking</t>
        </is>
      </c>
      <c r="L170" s="5" t="inlineStr">
        <is>
          <t>Store</t>
        </is>
      </c>
      <c r="M170" s="9">
        <f>TEXT(B170,"mmm-yyyy")</f>
        <v/>
      </c>
      <c r="N170" s="9">
        <f>DATEDIF(B170,TODAY(),"d")</f>
        <v/>
      </c>
      <c r="O170" s="10">
        <f>NOW()</f>
        <v/>
      </c>
    </row>
    <row r="171">
      <c r="A171" s="5" t="inlineStr">
        <is>
          <t>T0170</t>
        </is>
      </c>
      <c r="B171" s="6" t="n">
        <v>45882</v>
      </c>
      <c r="C171" s="5" t="inlineStr">
        <is>
          <t>C021</t>
        </is>
      </c>
      <c r="D171" s="5" t="inlineStr">
        <is>
          <t>Manav Shah</t>
        </is>
      </c>
      <c r="E171" s="5" t="inlineStr">
        <is>
          <t>North</t>
        </is>
      </c>
      <c r="F171" s="5" t="inlineStr">
        <is>
          <t>Notebook Pack</t>
        </is>
      </c>
      <c r="G171" s="5" t="inlineStr">
        <is>
          <t>Stationery</t>
        </is>
      </c>
      <c r="H171" s="5" t="n">
        <v>2</v>
      </c>
      <c r="I171" s="7" t="n">
        <v>249</v>
      </c>
      <c r="J171" s="8">
        <f>H171*I171</f>
        <v/>
      </c>
      <c r="K171" s="5" t="inlineStr">
        <is>
          <t>UPI</t>
        </is>
      </c>
      <c r="L171" s="5" t="inlineStr">
        <is>
          <t>Mobile App</t>
        </is>
      </c>
      <c r="M171" s="9">
        <f>TEXT(B171,"mmm-yyyy")</f>
        <v/>
      </c>
      <c r="N171" s="9">
        <f>DATEDIF(B171,TODAY(),"d")</f>
        <v/>
      </c>
      <c r="O171" s="10">
        <f>NOW()</f>
        <v/>
      </c>
    </row>
    <row r="172">
      <c r="A172" s="5" t="inlineStr">
        <is>
          <t>T0171</t>
        </is>
      </c>
      <c r="B172" s="6" t="n">
        <v>45698</v>
      </c>
      <c r="C172" s="5" t="inlineStr">
        <is>
          <t>C010</t>
        </is>
      </c>
      <c r="D172" s="5" t="inlineStr">
        <is>
          <t>Sara Mehta</t>
        </is>
      </c>
      <c r="E172" s="5" t="inlineStr">
        <is>
          <t>South</t>
        </is>
      </c>
      <c r="F172" s="5" t="inlineStr">
        <is>
          <t>Desk Lamp</t>
        </is>
      </c>
      <c r="G172" s="5" t="inlineStr">
        <is>
          <t>Home</t>
        </is>
      </c>
      <c r="H172" s="5" t="n">
        <v>1</v>
      </c>
      <c r="I172" s="7" t="n">
        <v>1099</v>
      </c>
      <c r="J172" s="8">
        <f>H172*I172</f>
        <v/>
      </c>
      <c r="K172" s="5" t="inlineStr">
        <is>
          <t>Credit Card</t>
        </is>
      </c>
      <c r="L172" s="5" t="inlineStr">
        <is>
          <t>Online</t>
        </is>
      </c>
      <c r="M172" s="9">
        <f>TEXT(B172,"mmm-yyyy")</f>
        <v/>
      </c>
      <c r="N172" s="9">
        <f>DATEDIF(B172,TODAY(),"d")</f>
        <v/>
      </c>
      <c r="O172" s="10">
        <f>NOW()</f>
        <v/>
      </c>
    </row>
    <row r="173">
      <c r="A173" s="5" t="inlineStr">
        <is>
          <t>T0172</t>
        </is>
      </c>
      <c r="B173" s="6" t="n">
        <v>45960</v>
      </c>
      <c r="C173" s="5" t="inlineStr">
        <is>
          <t>C011</t>
        </is>
      </c>
      <c r="D173" s="5" t="inlineStr">
        <is>
          <t>Krish Dave</t>
        </is>
      </c>
      <c r="E173" s="5" t="inlineStr">
        <is>
          <t>North</t>
        </is>
      </c>
      <c r="F173" s="5" t="inlineStr">
        <is>
          <t>Backpack</t>
        </is>
      </c>
      <c r="G173" s="5" t="inlineStr">
        <is>
          <t>Lifestyle</t>
        </is>
      </c>
      <c r="H173" s="5" t="n">
        <v>1</v>
      </c>
      <c r="I173" s="7" t="n">
        <v>1499</v>
      </c>
      <c r="J173" s="8">
        <f>H173*I173</f>
        <v/>
      </c>
      <c r="K173" s="5" t="inlineStr">
        <is>
          <t>Net Banking</t>
        </is>
      </c>
      <c r="L173" s="5" t="inlineStr">
        <is>
          <t>Store</t>
        </is>
      </c>
      <c r="M173" s="9">
        <f>TEXT(B173,"mmm-yyyy")</f>
        <v/>
      </c>
      <c r="N173" s="9">
        <f>DATEDIF(B173,TODAY(),"d")</f>
        <v/>
      </c>
      <c r="O173" s="10">
        <f>NOW()</f>
        <v/>
      </c>
    </row>
    <row r="174">
      <c r="A174" s="5" t="inlineStr">
        <is>
          <t>T0173</t>
        </is>
      </c>
      <c r="B174" s="6" t="n">
        <v>46201</v>
      </c>
      <c r="C174" s="5" t="inlineStr">
        <is>
          <t>C017</t>
        </is>
      </c>
      <c r="D174" s="5" t="inlineStr">
        <is>
          <t>Kabir Mehta</t>
        </is>
      </c>
      <c r="E174" s="5" t="inlineStr">
        <is>
          <t>South</t>
        </is>
      </c>
      <c r="F174" s="5" t="inlineStr">
        <is>
          <t>Premium Pen</t>
        </is>
      </c>
      <c r="G174" s="5" t="inlineStr">
        <is>
          <t>Stationery</t>
        </is>
      </c>
      <c r="H174" s="5" t="n">
        <v>4</v>
      </c>
      <c r="I174" s="7" t="n">
        <v>399</v>
      </c>
      <c r="J174" s="8">
        <f>H174*I174</f>
        <v/>
      </c>
      <c r="K174" s="5" t="inlineStr">
        <is>
          <t>Cash</t>
        </is>
      </c>
      <c r="L174" s="5" t="inlineStr">
        <is>
          <t>Store</t>
        </is>
      </c>
      <c r="M174" s="9">
        <f>TEXT(B174,"mmm-yyyy")</f>
        <v/>
      </c>
      <c r="N174" s="9">
        <f>DATEDIF(B174,TODAY(),"d")</f>
        <v/>
      </c>
      <c r="O174" s="10">
        <f>NOW()</f>
        <v/>
      </c>
    </row>
    <row r="175">
      <c r="A175" s="5" t="inlineStr">
        <is>
          <t>T0174</t>
        </is>
      </c>
      <c r="B175" s="6" t="n">
        <v>46004</v>
      </c>
      <c r="C175" s="5" t="inlineStr">
        <is>
          <t>C026</t>
        </is>
      </c>
      <c r="D175" s="5" t="inlineStr">
        <is>
          <t>Mira Joshi</t>
        </is>
      </c>
      <c r="E175" s="5" t="inlineStr">
        <is>
          <t>West</t>
        </is>
      </c>
      <c r="F175" s="5" t="inlineStr">
        <is>
          <t>Keyboard</t>
        </is>
      </c>
      <c r="G175" s="5" t="inlineStr">
        <is>
          <t>Electronics</t>
        </is>
      </c>
      <c r="H175" s="5" t="n">
        <v>2</v>
      </c>
      <c r="I175" s="7" t="n">
        <v>1299</v>
      </c>
      <c r="J175" s="8">
        <f>H175*I175</f>
        <v/>
      </c>
      <c r="K175" s="5" t="inlineStr">
        <is>
          <t>Credit Card</t>
        </is>
      </c>
      <c r="L175" s="5" t="inlineStr">
        <is>
          <t>Online</t>
        </is>
      </c>
      <c r="M175" s="9">
        <f>TEXT(B175,"mmm-yyyy")</f>
        <v/>
      </c>
      <c r="N175" s="9">
        <f>DATEDIF(B175,TODAY(),"d")</f>
        <v/>
      </c>
      <c r="O175" s="10">
        <f>NOW()</f>
        <v/>
      </c>
    </row>
    <row r="176">
      <c r="A176" s="5" t="inlineStr">
        <is>
          <t>T0175</t>
        </is>
      </c>
      <c r="B176" s="6" t="n">
        <v>46064</v>
      </c>
      <c r="C176" s="5" t="inlineStr">
        <is>
          <t>C028</t>
        </is>
      </c>
      <c r="D176" s="5" t="inlineStr">
        <is>
          <t>Tara Shah</t>
        </is>
      </c>
      <c r="E176" s="5" t="inlineStr">
        <is>
          <t>East</t>
        </is>
      </c>
      <c r="F176" s="5" t="inlineStr">
        <is>
          <t>Coffee Mug</t>
        </is>
      </c>
      <c r="G176" s="5" t="inlineStr">
        <is>
          <t>Home</t>
        </is>
      </c>
      <c r="H176" s="5" t="n">
        <v>2</v>
      </c>
      <c r="I176" s="7" t="n">
        <v>349</v>
      </c>
      <c r="J176" s="8">
        <f>H176*I176</f>
        <v/>
      </c>
      <c r="K176" s="5" t="inlineStr">
        <is>
          <t>UPI</t>
        </is>
      </c>
      <c r="L176" s="5" t="inlineStr">
        <is>
          <t>Store</t>
        </is>
      </c>
      <c r="M176" s="9">
        <f>TEXT(B176,"mmm-yyyy")</f>
        <v/>
      </c>
      <c r="N176" s="9">
        <f>DATEDIF(B176,TODAY(),"d")</f>
        <v/>
      </c>
      <c r="O176" s="10">
        <f>NOW()</f>
        <v/>
      </c>
    </row>
    <row r="177">
      <c r="A177" s="5" t="inlineStr">
        <is>
          <t>T0176</t>
        </is>
      </c>
      <c r="B177" s="6" t="n">
        <v>46207</v>
      </c>
      <c r="C177" s="5" t="inlineStr">
        <is>
          <t>C004</t>
        </is>
      </c>
      <c r="D177" s="5" t="inlineStr">
        <is>
          <t>Anaya Desai</t>
        </is>
      </c>
      <c r="E177" s="5" t="inlineStr">
        <is>
          <t>South</t>
        </is>
      </c>
      <c r="F177" s="5" t="inlineStr">
        <is>
          <t>Desk Lamp</t>
        </is>
      </c>
      <c r="G177" s="5" t="inlineStr">
        <is>
          <t>Home</t>
        </is>
      </c>
      <c r="H177" s="5" t="n">
        <v>2</v>
      </c>
      <c r="I177" s="7" t="n">
        <v>1099</v>
      </c>
      <c r="J177" s="8">
        <f>H177*I177</f>
        <v/>
      </c>
      <c r="K177" s="5" t="inlineStr">
        <is>
          <t>Net Banking</t>
        </is>
      </c>
      <c r="L177" s="5" t="inlineStr">
        <is>
          <t>Store</t>
        </is>
      </c>
      <c r="M177" s="9">
        <f>TEXT(B177,"mmm-yyyy")</f>
        <v/>
      </c>
      <c r="N177" s="9">
        <f>DATEDIF(B177,TODAY(),"d")</f>
        <v/>
      </c>
      <c r="O177" s="10">
        <f>NOW()</f>
        <v/>
      </c>
    </row>
    <row r="178">
      <c r="A178" s="5" t="inlineStr">
        <is>
          <t>T0177</t>
        </is>
      </c>
      <c r="B178" s="6" t="n">
        <v>46038</v>
      </c>
      <c r="C178" s="5" t="inlineStr">
        <is>
          <t>C004</t>
        </is>
      </c>
      <c r="D178" s="5" t="inlineStr">
        <is>
          <t>Anaya Desai</t>
        </is>
      </c>
      <c r="E178" s="5" t="inlineStr">
        <is>
          <t>Central</t>
        </is>
      </c>
      <c r="F178" s="5" t="inlineStr">
        <is>
          <t>Notebook Pack</t>
        </is>
      </c>
      <c r="G178" s="5" t="inlineStr">
        <is>
          <t>Stationery</t>
        </is>
      </c>
      <c r="H178" s="5" t="n">
        <v>2</v>
      </c>
      <c r="I178" s="7" t="n">
        <v>249</v>
      </c>
      <c r="J178" s="8">
        <f>H178*I178</f>
        <v/>
      </c>
      <c r="K178" s="5" t="inlineStr">
        <is>
          <t>Net Banking</t>
        </is>
      </c>
      <c r="L178" s="5" t="inlineStr">
        <is>
          <t>Store</t>
        </is>
      </c>
      <c r="M178" s="9">
        <f>TEXT(B178,"mmm-yyyy")</f>
        <v/>
      </c>
      <c r="N178" s="9">
        <f>DATEDIF(B178,TODAY(),"d")</f>
        <v/>
      </c>
      <c r="O178" s="10">
        <f>NOW()</f>
        <v/>
      </c>
    </row>
    <row r="179">
      <c r="A179" s="5" t="inlineStr">
        <is>
          <t>T0178</t>
        </is>
      </c>
      <c r="B179" s="6" t="n">
        <v>46282</v>
      </c>
      <c r="C179" s="5" t="inlineStr">
        <is>
          <t>C008</t>
        </is>
      </c>
      <c r="D179" s="5" t="inlineStr">
        <is>
          <t>Myra Shah</t>
        </is>
      </c>
      <c r="E179" s="5" t="inlineStr">
        <is>
          <t>East</t>
        </is>
      </c>
      <c r="F179" s="5" t="inlineStr">
        <is>
          <t>Keyboard</t>
        </is>
      </c>
      <c r="G179" s="5" t="inlineStr">
        <is>
          <t>Electronics</t>
        </is>
      </c>
      <c r="H179" s="5" t="n">
        <v>3</v>
      </c>
      <c r="I179" s="7" t="n">
        <v>1299</v>
      </c>
      <c r="J179" s="8">
        <f>H179*I179</f>
        <v/>
      </c>
      <c r="K179" s="5" t="inlineStr">
        <is>
          <t>Debit Card</t>
        </is>
      </c>
      <c r="L179" s="5" t="inlineStr">
        <is>
          <t>Mobile App</t>
        </is>
      </c>
      <c r="M179" s="9">
        <f>TEXT(B179,"mmm-yyyy")</f>
        <v/>
      </c>
      <c r="N179" s="9">
        <f>DATEDIF(B179,TODAY(),"d")</f>
        <v/>
      </c>
      <c r="O179" s="10">
        <f>NOW()</f>
        <v/>
      </c>
    </row>
    <row r="180">
      <c r="A180" s="5" t="inlineStr">
        <is>
          <t>T0179</t>
        </is>
      </c>
      <c r="B180" s="6" t="n">
        <v>46076</v>
      </c>
      <c r="C180" s="5" t="inlineStr">
        <is>
          <t>C004</t>
        </is>
      </c>
      <c r="D180" s="5" t="inlineStr">
        <is>
          <t>Anaya Desai</t>
        </is>
      </c>
      <c r="E180" s="5" t="inlineStr">
        <is>
          <t>West</t>
        </is>
      </c>
      <c r="F180" s="5" t="inlineStr">
        <is>
          <t>USB-C Hub</t>
        </is>
      </c>
      <c r="G180" s="5" t="inlineStr">
        <is>
          <t>Electronics</t>
        </is>
      </c>
      <c r="H180" s="5" t="n">
        <v>1</v>
      </c>
      <c r="I180" s="7" t="n">
        <v>1899</v>
      </c>
      <c r="J180" s="8">
        <f>H180*I180</f>
        <v/>
      </c>
      <c r="K180" s="5" t="inlineStr">
        <is>
          <t>Debit Card</t>
        </is>
      </c>
      <c r="L180" s="5" t="inlineStr">
        <is>
          <t>Store</t>
        </is>
      </c>
      <c r="M180" s="9">
        <f>TEXT(B180,"mmm-yyyy")</f>
        <v/>
      </c>
      <c r="N180" s="9">
        <f>DATEDIF(B180,TODAY(),"d")</f>
        <v/>
      </c>
      <c r="O180" s="10">
        <f>NOW()</f>
        <v/>
      </c>
    </row>
    <row r="181">
      <c r="A181" s="5" t="inlineStr">
        <is>
          <t>T0180</t>
        </is>
      </c>
      <c r="B181" s="6" t="n">
        <v>45776</v>
      </c>
      <c r="C181" s="5" t="inlineStr">
        <is>
          <t>C004</t>
        </is>
      </c>
      <c r="D181" s="5" t="inlineStr">
        <is>
          <t>Anaya Desai</t>
        </is>
      </c>
      <c r="E181" s="5" t="inlineStr">
        <is>
          <t>North</t>
        </is>
      </c>
      <c r="F181" s="5" t="inlineStr">
        <is>
          <t>Notebook Pack</t>
        </is>
      </c>
      <c r="G181" s="5" t="inlineStr">
        <is>
          <t>Stationery</t>
        </is>
      </c>
      <c r="H181" s="5" t="n">
        <v>4</v>
      </c>
      <c r="I181" s="7" t="n">
        <v>249</v>
      </c>
      <c r="J181" s="8">
        <f>H181*I181</f>
        <v/>
      </c>
      <c r="K181" s="5" t="inlineStr">
        <is>
          <t>Cash</t>
        </is>
      </c>
      <c r="L181" s="5" t="inlineStr">
        <is>
          <t>Store</t>
        </is>
      </c>
      <c r="M181" s="9">
        <f>TEXT(B181,"mmm-yyyy")</f>
        <v/>
      </c>
      <c r="N181" s="9">
        <f>DATEDIF(B181,TODAY(),"d")</f>
        <v/>
      </c>
      <c r="O181" s="10">
        <f>NOW()</f>
        <v/>
      </c>
    </row>
    <row r="182">
      <c r="A182" s="5" t="inlineStr">
        <is>
          <t>T0181</t>
        </is>
      </c>
      <c r="B182" s="6" t="n">
        <v>46037</v>
      </c>
      <c r="C182" s="5" t="inlineStr">
        <is>
          <t>C022</t>
        </is>
      </c>
      <c r="D182" s="5" t="inlineStr">
        <is>
          <t>Pari Patel</t>
        </is>
      </c>
      <c r="E182" s="5" t="inlineStr">
        <is>
          <t>North</t>
        </is>
      </c>
      <c r="F182" s="5" t="inlineStr">
        <is>
          <t>Coffee Mug</t>
        </is>
      </c>
      <c r="G182" s="5" t="inlineStr">
        <is>
          <t>Home</t>
        </is>
      </c>
      <c r="H182" s="5" t="n">
        <v>2</v>
      </c>
      <c r="I182" s="7" t="n">
        <v>349</v>
      </c>
      <c r="J182" s="8">
        <f>H182*I182</f>
        <v/>
      </c>
      <c r="K182" s="5" t="inlineStr">
        <is>
          <t>Cash</t>
        </is>
      </c>
      <c r="L182" s="5" t="inlineStr">
        <is>
          <t>Mobile App</t>
        </is>
      </c>
      <c r="M182" s="9">
        <f>TEXT(B182,"mmm-yyyy")</f>
        <v/>
      </c>
      <c r="N182" s="9">
        <f>DATEDIF(B182,TODAY(),"d")</f>
        <v/>
      </c>
      <c r="O182" s="10">
        <f>NOW()</f>
        <v/>
      </c>
    </row>
    <row r="183">
      <c r="A183" s="5" t="inlineStr">
        <is>
          <t>T0182</t>
        </is>
      </c>
      <c r="B183" s="6" t="n">
        <v>45759</v>
      </c>
      <c r="C183" s="5" t="inlineStr">
        <is>
          <t>C027</t>
        </is>
      </c>
      <c r="D183" s="5" t="inlineStr">
        <is>
          <t>Ayaan Desai</t>
        </is>
      </c>
      <c r="E183" s="5" t="inlineStr">
        <is>
          <t>South</t>
        </is>
      </c>
      <c r="F183" s="5" t="inlineStr">
        <is>
          <t>Desk Lamp</t>
        </is>
      </c>
      <c r="G183" s="5" t="inlineStr">
        <is>
          <t>Home</t>
        </is>
      </c>
      <c r="H183" s="5" t="n">
        <v>2</v>
      </c>
      <c r="I183" s="7" t="n">
        <v>1099</v>
      </c>
      <c r="J183" s="8">
        <f>H183*I183</f>
        <v/>
      </c>
      <c r="K183" s="5" t="inlineStr">
        <is>
          <t>UPI</t>
        </is>
      </c>
      <c r="L183" s="5" t="inlineStr">
        <is>
          <t>Mobile App</t>
        </is>
      </c>
      <c r="M183" s="9">
        <f>TEXT(B183,"mmm-yyyy")</f>
        <v/>
      </c>
      <c r="N183" s="9">
        <f>DATEDIF(B183,TODAY(),"d")</f>
        <v/>
      </c>
      <c r="O183" s="10">
        <f>NOW()</f>
        <v/>
      </c>
    </row>
    <row r="184">
      <c r="A184" s="5" t="inlineStr">
        <is>
          <t>T0183</t>
        </is>
      </c>
      <c r="B184" s="6" t="n">
        <v>46037</v>
      </c>
      <c r="C184" s="5" t="inlineStr">
        <is>
          <t>C007</t>
        </is>
      </c>
      <c r="D184" s="5" t="inlineStr">
        <is>
          <t>Reyansh Modi</t>
        </is>
      </c>
      <c r="E184" s="5" t="inlineStr">
        <is>
          <t>North</t>
        </is>
      </c>
      <c r="F184" s="5" t="inlineStr">
        <is>
          <t>Desk Lamp</t>
        </is>
      </c>
      <c r="G184" s="5" t="inlineStr">
        <is>
          <t>Home</t>
        </is>
      </c>
      <c r="H184" s="5" t="n">
        <v>2</v>
      </c>
      <c r="I184" s="7" t="n">
        <v>1099</v>
      </c>
      <c r="J184" s="8">
        <f>H184*I184</f>
        <v/>
      </c>
      <c r="K184" s="5" t="inlineStr">
        <is>
          <t>Debit Card</t>
        </is>
      </c>
      <c r="L184" s="5" t="inlineStr">
        <is>
          <t>Online</t>
        </is>
      </c>
      <c r="M184" s="9">
        <f>TEXT(B184,"mmm-yyyy")</f>
        <v/>
      </c>
      <c r="N184" s="9">
        <f>DATEDIF(B184,TODAY(),"d")</f>
        <v/>
      </c>
      <c r="O184" s="10">
        <f>NOW()</f>
        <v/>
      </c>
    </row>
    <row r="185">
      <c r="A185" s="5" t="inlineStr">
        <is>
          <t>T0184</t>
        </is>
      </c>
      <c r="B185" s="6" t="n">
        <v>46034</v>
      </c>
      <c r="C185" s="5" t="inlineStr">
        <is>
          <t>C018</t>
        </is>
      </c>
      <c r="D185" s="5" t="inlineStr">
        <is>
          <t>Navya Desai</t>
        </is>
      </c>
      <c r="E185" s="5" t="inlineStr">
        <is>
          <t>South</t>
        </is>
      </c>
      <c r="F185" s="5" t="inlineStr">
        <is>
          <t>Water Bottle</t>
        </is>
      </c>
      <c r="G185" s="5" t="inlineStr">
        <is>
          <t>Lifestyle</t>
        </is>
      </c>
      <c r="H185" s="5" t="n">
        <v>1</v>
      </c>
      <c r="I185" s="7" t="n">
        <v>599</v>
      </c>
      <c r="J185" s="8">
        <f>H185*I185</f>
        <v/>
      </c>
      <c r="K185" s="5" t="inlineStr">
        <is>
          <t>Credit Card</t>
        </is>
      </c>
      <c r="L185" s="5" t="inlineStr">
        <is>
          <t>Online</t>
        </is>
      </c>
      <c r="M185" s="9">
        <f>TEXT(B185,"mmm-yyyy")</f>
        <v/>
      </c>
      <c r="N185" s="9">
        <f>DATEDIF(B185,TODAY(),"d")</f>
        <v/>
      </c>
      <c r="O185" s="10">
        <f>NOW()</f>
        <v/>
      </c>
    </row>
    <row r="186">
      <c r="A186" s="5" t="inlineStr">
        <is>
          <t>T0185</t>
        </is>
      </c>
      <c r="B186" s="6" t="n">
        <v>46123</v>
      </c>
      <c r="C186" s="5" t="inlineStr">
        <is>
          <t>C003</t>
        </is>
      </c>
      <c r="D186" s="5" t="inlineStr">
        <is>
          <t>Vivaan Mehta</t>
        </is>
      </c>
      <c r="E186" s="5" t="inlineStr">
        <is>
          <t>Central</t>
        </is>
      </c>
      <c r="F186" s="5" t="inlineStr">
        <is>
          <t>Notebook Pack</t>
        </is>
      </c>
      <c r="G186" s="5" t="inlineStr">
        <is>
          <t>Stationery</t>
        </is>
      </c>
      <c r="H186" s="5" t="n">
        <v>3</v>
      </c>
      <c r="I186" s="7" t="n">
        <v>249</v>
      </c>
      <c r="J186" s="8">
        <f>H186*I186</f>
        <v/>
      </c>
      <c r="K186" s="5" t="inlineStr">
        <is>
          <t>UPI</t>
        </is>
      </c>
      <c r="L186" s="5" t="inlineStr">
        <is>
          <t>Online</t>
        </is>
      </c>
      <c r="M186" s="9">
        <f>TEXT(B186,"mmm-yyyy")</f>
        <v/>
      </c>
      <c r="N186" s="9">
        <f>DATEDIF(B186,TODAY(),"d")</f>
        <v/>
      </c>
      <c r="O186" s="10">
        <f>NOW()</f>
        <v/>
      </c>
    </row>
    <row r="187">
      <c r="A187" s="5" t="inlineStr">
        <is>
          <t>T0186</t>
        </is>
      </c>
      <c r="B187" s="6" t="n">
        <v>45999</v>
      </c>
      <c r="C187" s="5" t="inlineStr">
        <is>
          <t>C008</t>
        </is>
      </c>
      <c r="D187" s="5" t="inlineStr">
        <is>
          <t>Myra Shah</t>
        </is>
      </c>
      <c r="E187" s="5" t="inlineStr">
        <is>
          <t>North</t>
        </is>
      </c>
      <c r="F187" s="5" t="inlineStr">
        <is>
          <t>USB-C Hub</t>
        </is>
      </c>
      <c r="G187" s="5" t="inlineStr">
        <is>
          <t>Electronics</t>
        </is>
      </c>
      <c r="H187" s="5" t="n">
        <v>3</v>
      </c>
      <c r="I187" s="7" t="n">
        <v>1899</v>
      </c>
      <c r="J187" s="8">
        <f>H187*I187</f>
        <v/>
      </c>
      <c r="K187" s="5" t="inlineStr">
        <is>
          <t>UPI</t>
        </is>
      </c>
      <c r="L187" s="5" t="inlineStr">
        <is>
          <t>Mobile App</t>
        </is>
      </c>
      <c r="M187" s="9">
        <f>TEXT(B187,"mmm-yyyy")</f>
        <v/>
      </c>
      <c r="N187" s="9">
        <f>DATEDIF(B187,TODAY(),"d")</f>
        <v/>
      </c>
      <c r="O187" s="10">
        <f>NOW()</f>
        <v/>
      </c>
    </row>
    <row r="188">
      <c r="A188" s="5" t="inlineStr">
        <is>
          <t>T0187</t>
        </is>
      </c>
      <c r="B188" s="6" t="n">
        <v>45870</v>
      </c>
      <c r="C188" s="5" t="inlineStr">
        <is>
          <t>C019</t>
        </is>
      </c>
      <c r="D188" s="5" t="inlineStr">
        <is>
          <t>Dhruv Joshi</t>
        </is>
      </c>
      <c r="E188" s="5" t="inlineStr">
        <is>
          <t>North</t>
        </is>
      </c>
      <c r="F188" s="5" t="inlineStr">
        <is>
          <t>Notebook Pack</t>
        </is>
      </c>
      <c r="G188" s="5" t="inlineStr">
        <is>
          <t>Stationery</t>
        </is>
      </c>
      <c r="H188" s="5" t="n">
        <v>4</v>
      </c>
      <c r="I188" s="7" t="n">
        <v>249</v>
      </c>
      <c r="J188" s="8">
        <f>H188*I188</f>
        <v/>
      </c>
      <c r="K188" s="5" t="inlineStr">
        <is>
          <t>Debit Card</t>
        </is>
      </c>
      <c r="L188" s="5" t="inlineStr">
        <is>
          <t>Online</t>
        </is>
      </c>
      <c r="M188" s="9">
        <f>TEXT(B188,"mmm-yyyy")</f>
        <v/>
      </c>
      <c r="N188" s="9">
        <f>DATEDIF(B188,TODAY(),"d")</f>
        <v/>
      </c>
      <c r="O188" s="10">
        <f>NOW()</f>
        <v/>
      </c>
    </row>
    <row r="189">
      <c r="A189" s="5" t="inlineStr">
        <is>
          <t>T0188</t>
        </is>
      </c>
      <c r="B189" s="6" t="n">
        <v>46268</v>
      </c>
      <c r="C189" s="5" t="inlineStr">
        <is>
          <t>C001</t>
        </is>
      </c>
      <c r="D189" s="5" t="inlineStr">
        <is>
          <t>Aarav Patel</t>
        </is>
      </c>
      <c r="E189" s="5" t="inlineStr">
        <is>
          <t>North</t>
        </is>
      </c>
      <c r="F189" s="5" t="inlineStr">
        <is>
          <t>Premium Pen</t>
        </is>
      </c>
      <c r="G189" s="5" t="inlineStr">
        <is>
          <t>Stationery</t>
        </is>
      </c>
      <c r="H189" s="5" t="n">
        <v>4</v>
      </c>
      <c r="I189" s="7" t="n">
        <v>399</v>
      </c>
      <c r="J189" s="8">
        <f>H189*I189</f>
        <v/>
      </c>
      <c r="K189" s="5" t="inlineStr">
        <is>
          <t>Credit Card</t>
        </is>
      </c>
      <c r="L189" s="5" t="inlineStr">
        <is>
          <t>Mobile App</t>
        </is>
      </c>
      <c r="M189" s="9">
        <f>TEXT(B189,"mmm-yyyy")</f>
        <v/>
      </c>
      <c r="N189" s="9">
        <f>DATEDIF(B189,TODAY(),"d")</f>
        <v/>
      </c>
      <c r="O189" s="10">
        <f>NOW()</f>
        <v/>
      </c>
    </row>
    <row r="190">
      <c r="A190" s="5" t="inlineStr">
        <is>
          <t>T0189</t>
        </is>
      </c>
      <c r="B190" s="6" t="n">
        <v>45914</v>
      </c>
      <c r="C190" s="5" t="inlineStr">
        <is>
          <t>C026</t>
        </is>
      </c>
      <c r="D190" s="5" t="inlineStr">
        <is>
          <t>Mira Joshi</t>
        </is>
      </c>
      <c r="E190" s="5" t="inlineStr">
        <is>
          <t>West</t>
        </is>
      </c>
      <c r="F190" s="5" t="inlineStr">
        <is>
          <t>USB-C Hub</t>
        </is>
      </c>
      <c r="G190" s="5" t="inlineStr">
        <is>
          <t>Electronics</t>
        </is>
      </c>
      <c r="H190" s="5" t="n">
        <v>1</v>
      </c>
      <c r="I190" s="7" t="n">
        <v>1899</v>
      </c>
      <c r="J190" s="8">
        <f>H190*I190</f>
        <v/>
      </c>
      <c r="K190" s="5" t="inlineStr">
        <is>
          <t>Credit Card</t>
        </is>
      </c>
      <c r="L190" s="5" t="inlineStr">
        <is>
          <t>Online</t>
        </is>
      </c>
      <c r="M190" s="9">
        <f>TEXT(B190,"mmm-yyyy")</f>
        <v/>
      </c>
      <c r="N190" s="9">
        <f>DATEDIF(B190,TODAY(),"d")</f>
        <v/>
      </c>
      <c r="O190" s="10">
        <f>NOW()</f>
        <v/>
      </c>
    </row>
    <row r="191">
      <c r="A191" s="5" t="inlineStr">
        <is>
          <t>T0190</t>
        </is>
      </c>
      <c r="B191" s="6" t="n">
        <v>46024</v>
      </c>
      <c r="C191" s="5" t="inlineStr">
        <is>
          <t>C026</t>
        </is>
      </c>
      <c r="D191" s="5" t="inlineStr">
        <is>
          <t>Mira Joshi</t>
        </is>
      </c>
      <c r="E191" s="5" t="inlineStr">
        <is>
          <t>West</t>
        </is>
      </c>
      <c r="F191" s="5" t="inlineStr">
        <is>
          <t>Notebook Pack</t>
        </is>
      </c>
      <c r="G191" s="5" t="inlineStr">
        <is>
          <t>Stationery</t>
        </is>
      </c>
      <c r="H191" s="5" t="n">
        <v>2</v>
      </c>
      <c r="I191" s="7" t="n">
        <v>249</v>
      </c>
      <c r="J191" s="8">
        <f>H191*I191</f>
        <v/>
      </c>
      <c r="K191" s="5" t="inlineStr">
        <is>
          <t>Credit Card</t>
        </is>
      </c>
      <c r="L191" s="5" t="inlineStr">
        <is>
          <t>Store</t>
        </is>
      </c>
      <c r="M191" s="9">
        <f>TEXT(B191,"mmm-yyyy")</f>
        <v/>
      </c>
      <c r="N191" s="9">
        <f>DATEDIF(B191,TODAY(),"d")</f>
        <v/>
      </c>
      <c r="O191" s="10">
        <f>NOW()</f>
        <v/>
      </c>
    </row>
    <row r="192">
      <c r="A192" s="5" t="inlineStr">
        <is>
          <t>T0191</t>
        </is>
      </c>
      <c r="B192" s="6" t="n">
        <v>45711</v>
      </c>
      <c r="C192" s="5" t="inlineStr">
        <is>
          <t>C005</t>
        </is>
      </c>
      <c r="D192" s="5" t="inlineStr">
        <is>
          <t>Arjun Joshi</t>
        </is>
      </c>
      <c r="E192" s="5" t="inlineStr">
        <is>
          <t>West</t>
        </is>
      </c>
      <c r="F192" s="5" t="inlineStr">
        <is>
          <t>Backpack</t>
        </is>
      </c>
      <c r="G192" s="5" t="inlineStr">
        <is>
          <t>Lifestyle</t>
        </is>
      </c>
      <c r="H192" s="5" t="n">
        <v>2</v>
      </c>
      <c r="I192" s="7" t="n">
        <v>1499</v>
      </c>
      <c r="J192" s="8">
        <f>H192*I192</f>
        <v/>
      </c>
      <c r="K192" s="5" t="inlineStr">
        <is>
          <t>Cash</t>
        </is>
      </c>
      <c r="L192" s="5" t="inlineStr">
        <is>
          <t>Store</t>
        </is>
      </c>
      <c r="M192" s="9">
        <f>TEXT(B192,"mmm-yyyy")</f>
        <v/>
      </c>
      <c r="N192" s="9">
        <f>DATEDIF(B192,TODAY(),"d")</f>
        <v/>
      </c>
      <c r="O192" s="10">
        <f>NOW()</f>
        <v/>
      </c>
    </row>
    <row r="193">
      <c r="A193" s="5" t="inlineStr">
        <is>
          <t>T0192</t>
        </is>
      </c>
      <c r="B193" s="6" t="n">
        <v>46028</v>
      </c>
      <c r="C193" s="5" t="inlineStr">
        <is>
          <t>C017</t>
        </is>
      </c>
      <c r="D193" s="5" t="inlineStr">
        <is>
          <t>Kabir Mehta</t>
        </is>
      </c>
      <c r="E193" s="5" t="inlineStr">
        <is>
          <t>Central</t>
        </is>
      </c>
      <c r="F193" s="5" t="inlineStr">
        <is>
          <t>Headphones</t>
        </is>
      </c>
      <c r="G193" s="5" t="inlineStr">
        <is>
          <t>Electronics</t>
        </is>
      </c>
      <c r="H193" s="5" t="n">
        <v>1</v>
      </c>
      <c r="I193" s="7" t="n">
        <v>2499</v>
      </c>
      <c r="J193" s="8">
        <f>H193*I193</f>
        <v/>
      </c>
      <c r="K193" s="5" t="inlineStr">
        <is>
          <t>Credit Card</t>
        </is>
      </c>
      <c r="L193" s="5" t="inlineStr">
        <is>
          <t>Mobile App</t>
        </is>
      </c>
      <c r="M193" s="9">
        <f>TEXT(B193,"mmm-yyyy")</f>
        <v/>
      </c>
      <c r="N193" s="9">
        <f>DATEDIF(B193,TODAY(),"d")</f>
        <v/>
      </c>
      <c r="O193" s="10">
        <f>NOW()</f>
        <v/>
      </c>
    </row>
    <row r="194">
      <c r="A194" s="5" t="inlineStr">
        <is>
          <t>T0193</t>
        </is>
      </c>
      <c r="B194" s="6" t="n">
        <v>45702</v>
      </c>
      <c r="C194" s="5" t="inlineStr">
        <is>
          <t>C024</t>
        </is>
      </c>
      <c r="D194" s="5" t="inlineStr">
        <is>
          <t>Saanvi Dave</t>
        </is>
      </c>
      <c r="E194" s="5" t="inlineStr">
        <is>
          <t>West</t>
        </is>
      </c>
      <c r="F194" s="5" t="inlineStr">
        <is>
          <t>Coffee Mug</t>
        </is>
      </c>
      <c r="G194" s="5" t="inlineStr">
        <is>
          <t>Home</t>
        </is>
      </c>
      <c r="H194" s="5" t="n">
        <v>1</v>
      </c>
      <c r="I194" s="7" t="n">
        <v>349</v>
      </c>
      <c r="J194" s="8">
        <f>H194*I194</f>
        <v/>
      </c>
      <c r="K194" s="5" t="inlineStr">
        <is>
          <t>UPI</t>
        </is>
      </c>
      <c r="L194" s="5" t="inlineStr">
        <is>
          <t>Store</t>
        </is>
      </c>
      <c r="M194" s="9">
        <f>TEXT(B194,"mmm-yyyy")</f>
        <v/>
      </c>
      <c r="N194" s="9">
        <f>DATEDIF(B194,TODAY(),"d")</f>
        <v/>
      </c>
      <c r="O194" s="10">
        <f>NOW()</f>
        <v/>
      </c>
    </row>
    <row r="195">
      <c r="A195" s="5" t="inlineStr">
        <is>
          <t>T0194</t>
        </is>
      </c>
      <c r="B195" s="6" t="n">
        <v>46069</v>
      </c>
      <c r="C195" s="5" t="inlineStr">
        <is>
          <t>C014</t>
        </is>
      </c>
      <c r="D195" s="5" t="inlineStr">
        <is>
          <t>Aanya Parmar</t>
        </is>
      </c>
      <c r="E195" s="5" t="inlineStr">
        <is>
          <t>East</t>
        </is>
      </c>
      <c r="F195" s="5" t="inlineStr">
        <is>
          <t>Keyboard</t>
        </is>
      </c>
      <c r="G195" s="5" t="inlineStr">
        <is>
          <t>Electronics</t>
        </is>
      </c>
      <c r="H195" s="5" t="n">
        <v>2</v>
      </c>
      <c r="I195" s="7" t="n">
        <v>1299</v>
      </c>
      <c r="J195" s="8">
        <f>H195*I195</f>
        <v/>
      </c>
      <c r="K195" s="5" t="inlineStr">
        <is>
          <t>UPI</t>
        </is>
      </c>
      <c r="L195" s="5" t="inlineStr">
        <is>
          <t>Online</t>
        </is>
      </c>
      <c r="M195" s="9">
        <f>TEXT(B195,"mmm-yyyy")</f>
        <v/>
      </c>
      <c r="N195" s="9">
        <f>DATEDIF(B195,TODAY(),"d")</f>
        <v/>
      </c>
      <c r="O195" s="10">
        <f>NOW()</f>
        <v/>
      </c>
    </row>
    <row r="196">
      <c r="A196" s="5" t="inlineStr">
        <is>
          <t>T0195</t>
        </is>
      </c>
      <c r="B196" s="6" t="n">
        <v>45987</v>
      </c>
      <c r="C196" s="5" t="inlineStr">
        <is>
          <t>C020</t>
        </is>
      </c>
      <c r="D196" s="5" t="inlineStr">
        <is>
          <t>Riya Modi</t>
        </is>
      </c>
      <c r="E196" s="5" t="inlineStr">
        <is>
          <t>South</t>
        </is>
      </c>
      <c r="F196" s="5" t="inlineStr">
        <is>
          <t>USB-C Hub</t>
        </is>
      </c>
      <c r="G196" s="5" t="inlineStr">
        <is>
          <t>Electronics</t>
        </is>
      </c>
      <c r="H196" s="5" t="n">
        <v>1</v>
      </c>
      <c r="I196" s="7" t="n">
        <v>1899</v>
      </c>
      <c r="J196" s="8">
        <f>H196*I196</f>
        <v/>
      </c>
      <c r="K196" s="5" t="inlineStr">
        <is>
          <t>Net Banking</t>
        </is>
      </c>
      <c r="L196" s="5" t="inlineStr">
        <is>
          <t>Mobile App</t>
        </is>
      </c>
      <c r="M196" s="9">
        <f>TEXT(B196,"mmm-yyyy")</f>
        <v/>
      </c>
      <c r="N196" s="9">
        <f>DATEDIF(B196,TODAY(),"d")</f>
        <v/>
      </c>
      <c r="O196" s="10">
        <f>NOW()</f>
        <v/>
      </c>
    </row>
    <row r="197">
      <c r="A197" s="5" t="inlineStr">
        <is>
          <t>T0196</t>
        </is>
      </c>
      <c r="B197" s="6" t="n">
        <v>46257</v>
      </c>
      <c r="C197" s="5" t="inlineStr">
        <is>
          <t>C018</t>
        </is>
      </c>
      <c r="D197" s="5" t="inlineStr">
        <is>
          <t>Navya Desai</t>
        </is>
      </c>
      <c r="E197" s="5" t="inlineStr">
        <is>
          <t>Central</t>
        </is>
      </c>
      <c r="F197" s="5" t="inlineStr">
        <is>
          <t>Water Bottle</t>
        </is>
      </c>
      <c r="G197" s="5" t="inlineStr">
        <is>
          <t>Lifestyle</t>
        </is>
      </c>
      <c r="H197" s="5" t="n">
        <v>2</v>
      </c>
      <c r="I197" s="7" t="n">
        <v>599</v>
      </c>
      <c r="J197" s="8">
        <f>H197*I197</f>
        <v/>
      </c>
      <c r="K197" s="5" t="inlineStr">
        <is>
          <t>Net Banking</t>
        </is>
      </c>
      <c r="L197" s="5" t="inlineStr">
        <is>
          <t>Store</t>
        </is>
      </c>
      <c r="M197" s="9">
        <f>TEXT(B197,"mmm-yyyy")</f>
        <v/>
      </c>
      <c r="N197" s="9">
        <f>DATEDIF(B197,TODAY(),"d")</f>
        <v/>
      </c>
      <c r="O197" s="10">
        <f>NOW()</f>
        <v/>
      </c>
    </row>
    <row r="198">
      <c r="A198" s="5" t="inlineStr">
        <is>
          <t>T0197</t>
        </is>
      </c>
      <c r="B198" s="6" t="n">
        <v>46122</v>
      </c>
      <c r="C198" s="5" t="inlineStr">
        <is>
          <t>C017</t>
        </is>
      </c>
      <c r="D198" s="5" t="inlineStr">
        <is>
          <t>Kabir Mehta</t>
        </is>
      </c>
      <c r="E198" s="5" t="inlineStr">
        <is>
          <t>West</t>
        </is>
      </c>
      <c r="F198" s="5" t="inlineStr">
        <is>
          <t>Headphones</t>
        </is>
      </c>
      <c r="G198" s="5" t="inlineStr">
        <is>
          <t>Electronics</t>
        </is>
      </c>
      <c r="H198" s="5" t="n">
        <v>2</v>
      </c>
      <c r="I198" s="7" t="n">
        <v>2499</v>
      </c>
      <c r="J198" s="8">
        <f>H198*I198</f>
        <v/>
      </c>
      <c r="K198" s="5" t="inlineStr">
        <is>
          <t>Net Banking</t>
        </is>
      </c>
      <c r="L198" s="5" t="inlineStr">
        <is>
          <t>Mobile App</t>
        </is>
      </c>
      <c r="M198" s="9">
        <f>TEXT(B198,"mmm-yyyy")</f>
        <v/>
      </c>
      <c r="N198" s="9">
        <f>DATEDIF(B198,TODAY(),"d")</f>
        <v/>
      </c>
      <c r="O198" s="10">
        <f>NOW()</f>
        <v/>
      </c>
    </row>
    <row r="199">
      <c r="A199" s="5" t="inlineStr">
        <is>
          <t>T0198</t>
        </is>
      </c>
      <c r="B199" s="6" t="n">
        <v>45878</v>
      </c>
      <c r="C199" s="5" t="inlineStr">
        <is>
          <t>C014</t>
        </is>
      </c>
      <c r="D199" s="5" t="inlineStr">
        <is>
          <t>Aanya Parmar</t>
        </is>
      </c>
      <c r="E199" s="5" t="inlineStr">
        <is>
          <t>East</t>
        </is>
      </c>
      <c r="F199" s="5" t="inlineStr">
        <is>
          <t>Desk Lamp</t>
        </is>
      </c>
      <c r="G199" s="5" t="inlineStr">
        <is>
          <t>Home</t>
        </is>
      </c>
      <c r="H199" s="5" t="n">
        <v>4</v>
      </c>
      <c r="I199" s="7" t="n">
        <v>1099</v>
      </c>
      <c r="J199" s="8">
        <f>H199*I199</f>
        <v/>
      </c>
      <c r="K199" s="5" t="inlineStr">
        <is>
          <t>Debit Card</t>
        </is>
      </c>
      <c r="L199" s="5" t="inlineStr">
        <is>
          <t>Store</t>
        </is>
      </c>
      <c r="M199" s="9">
        <f>TEXT(B199,"mmm-yyyy")</f>
        <v/>
      </c>
      <c r="N199" s="9">
        <f>DATEDIF(B199,TODAY(),"d")</f>
        <v/>
      </c>
      <c r="O199" s="10">
        <f>NOW()</f>
        <v/>
      </c>
    </row>
    <row r="200">
      <c r="A200" s="5" t="inlineStr">
        <is>
          <t>T0199</t>
        </is>
      </c>
      <c r="B200" s="6" t="n">
        <v>46066</v>
      </c>
      <c r="C200" s="5" t="inlineStr">
        <is>
          <t>C014</t>
        </is>
      </c>
      <c r="D200" s="5" t="inlineStr">
        <is>
          <t>Aanya Parmar</t>
        </is>
      </c>
      <c r="E200" s="5" t="inlineStr">
        <is>
          <t>South</t>
        </is>
      </c>
      <c r="F200" s="5" t="inlineStr">
        <is>
          <t>Keyboard</t>
        </is>
      </c>
      <c r="G200" s="5" t="inlineStr">
        <is>
          <t>Electronics</t>
        </is>
      </c>
      <c r="H200" s="5" t="n">
        <v>1</v>
      </c>
      <c r="I200" s="7" t="n">
        <v>1299</v>
      </c>
      <c r="J200" s="8">
        <f>H200*I200</f>
        <v/>
      </c>
      <c r="K200" s="5" t="inlineStr">
        <is>
          <t>Debit Card</t>
        </is>
      </c>
      <c r="L200" s="5" t="inlineStr">
        <is>
          <t>Store</t>
        </is>
      </c>
      <c r="M200" s="9">
        <f>TEXT(B200,"mmm-yyyy")</f>
        <v/>
      </c>
      <c r="N200" s="9">
        <f>DATEDIF(B200,TODAY(),"d")</f>
        <v/>
      </c>
      <c r="O200" s="10">
        <f>NOW()</f>
        <v/>
      </c>
    </row>
    <row r="201">
      <c r="A201" s="5" t="inlineStr">
        <is>
          <t>T0200</t>
        </is>
      </c>
      <c r="B201" s="6" t="n">
        <v>45814</v>
      </c>
      <c r="C201" s="5" t="inlineStr">
        <is>
          <t>C022</t>
        </is>
      </c>
      <c r="D201" s="5" t="inlineStr">
        <is>
          <t>Pari Patel</t>
        </is>
      </c>
      <c r="E201" s="5" t="inlineStr">
        <is>
          <t>West</t>
        </is>
      </c>
      <c r="F201" s="5" t="inlineStr">
        <is>
          <t>Desk Lamp</t>
        </is>
      </c>
      <c r="G201" s="5" t="inlineStr">
        <is>
          <t>Home</t>
        </is>
      </c>
      <c r="H201" s="5" t="n">
        <v>1</v>
      </c>
      <c r="I201" s="7" t="n">
        <v>1099</v>
      </c>
      <c r="J201" s="8">
        <f>H201*I201</f>
        <v/>
      </c>
      <c r="K201" s="5" t="inlineStr">
        <is>
          <t>UPI</t>
        </is>
      </c>
      <c r="L201" s="5" t="inlineStr">
        <is>
          <t>Store</t>
        </is>
      </c>
      <c r="M201" s="9">
        <f>TEXT(B201,"mmm-yyyy")</f>
        <v/>
      </c>
      <c r="N201" s="9">
        <f>DATEDIF(B201,TODAY(),"d")</f>
        <v/>
      </c>
      <c r="O201" s="10">
        <f>NOW()</f>
        <v/>
      </c>
    </row>
    <row r="202">
      <c r="A202" s="5" t="inlineStr">
        <is>
          <t>T0201</t>
        </is>
      </c>
      <c r="B202" s="6" t="n">
        <v>45756</v>
      </c>
      <c r="C202" s="5" t="inlineStr">
        <is>
          <t>C024</t>
        </is>
      </c>
      <c r="D202" s="5" t="inlineStr">
        <is>
          <t>Saanvi Dave</t>
        </is>
      </c>
      <c r="E202" s="5" t="inlineStr">
        <is>
          <t>Central</t>
        </is>
      </c>
      <c r="F202" s="5" t="inlineStr">
        <is>
          <t>Water Bottle</t>
        </is>
      </c>
      <c r="G202" s="5" t="inlineStr">
        <is>
          <t>Lifestyle</t>
        </is>
      </c>
      <c r="H202" s="5" t="n">
        <v>4</v>
      </c>
      <c r="I202" s="7" t="n">
        <v>599</v>
      </c>
      <c r="J202" s="8">
        <f>H202*I202</f>
        <v/>
      </c>
      <c r="K202" s="5" t="inlineStr">
        <is>
          <t>UPI</t>
        </is>
      </c>
      <c r="L202" s="5" t="inlineStr">
        <is>
          <t>Mobile App</t>
        </is>
      </c>
      <c r="M202" s="9">
        <f>TEXT(B202,"mmm-yyyy")</f>
        <v/>
      </c>
      <c r="N202" s="9">
        <f>DATEDIF(B202,TODAY(),"d")</f>
        <v/>
      </c>
      <c r="O202" s="10">
        <f>NOW()</f>
        <v/>
      </c>
    </row>
    <row r="203">
      <c r="A203" s="5" t="inlineStr">
        <is>
          <t>T0202</t>
        </is>
      </c>
      <c r="B203" s="6" t="n">
        <v>46233</v>
      </c>
      <c r="C203" s="5" t="inlineStr">
        <is>
          <t>C018</t>
        </is>
      </c>
      <c r="D203" s="5" t="inlineStr">
        <is>
          <t>Navya Desai</t>
        </is>
      </c>
      <c r="E203" s="5" t="inlineStr">
        <is>
          <t>East</t>
        </is>
      </c>
      <c r="F203" s="5" t="inlineStr">
        <is>
          <t>Water Bottle</t>
        </is>
      </c>
      <c r="G203" s="5" t="inlineStr">
        <is>
          <t>Lifestyle</t>
        </is>
      </c>
      <c r="H203" s="5" t="n">
        <v>3</v>
      </c>
      <c r="I203" s="7" t="n">
        <v>599</v>
      </c>
      <c r="J203" s="8">
        <f>H203*I203</f>
        <v/>
      </c>
      <c r="K203" s="5" t="inlineStr">
        <is>
          <t>Debit Card</t>
        </is>
      </c>
      <c r="L203" s="5" t="inlineStr">
        <is>
          <t>Mobile App</t>
        </is>
      </c>
      <c r="M203" s="9">
        <f>TEXT(B203,"mmm-yyyy")</f>
        <v/>
      </c>
      <c r="N203" s="9">
        <f>DATEDIF(B203,TODAY(),"d")</f>
        <v/>
      </c>
      <c r="O203" s="10">
        <f>NOW()</f>
        <v/>
      </c>
    </row>
    <row r="204">
      <c r="A204" s="5" t="inlineStr">
        <is>
          <t>T0203</t>
        </is>
      </c>
      <c r="B204" s="6" t="n">
        <v>46091</v>
      </c>
      <c r="C204" s="5" t="inlineStr">
        <is>
          <t>C028</t>
        </is>
      </c>
      <c r="D204" s="5" t="inlineStr">
        <is>
          <t>Tara Shah</t>
        </is>
      </c>
      <c r="E204" s="5" t="inlineStr">
        <is>
          <t>Central</t>
        </is>
      </c>
      <c r="F204" s="5" t="inlineStr">
        <is>
          <t>Wireless Mouse</t>
        </is>
      </c>
      <c r="G204" s="5" t="inlineStr">
        <is>
          <t>Electronics</t>
        </is>
      </c>
      <c r="H204" s="5" t="n">
        <v>5</v>
      </c>
      <c r="I204" s="7" t="n">
        <v>799</v>
      </c>
      <c r="J204" s="8">
        <f>H204*I204</f>
        <v/>
      </c>
      <c r="K204" s="5" t="inlineStr">
        <is>
          <t>Debit Card</t>
        </is>
      </c>
      <c r="L204" s="5" t="inlineStr">
        <is>
          <t>Store</t>
        </is>
      </c>
      <c r="M204" s="9">
        <f>TEXT(B204,"mmm-yyyy")</f>
        <v/>
      </c>
      <c r="N204" s="9">
        <f>DATEDIF(B204,TODAY(),"d")</f>
        <v/>
      </c>
      <c r="O204" s="10">
        <f>NOW()</f>
        <v/>
      </c>
    </row>
    <row r="205">
      <c r="A205" s="5" t="inlineStr">
        <is>
          <t>T0204</t>
        </is>
      </c>
      <c r="B205" s="6" t="n">
        <v>45764</v>
      </c>
      <c r="C205" s="5" t="inlineStr">
        <is>
          <t>C019</t>
        </is>
      </c>
      <c r="D205" s="5" t="inlineStr">
        <is>
          <t>Dhruv Joshi</t>
        </is>
      </c>
      <c r="E205" s="5" t="inlineStr">
        <is>
          <t>East</t>
        </is>
      </c>
      <c r="F205" s="5" t="inlineStr">
        <is>
          <t>Coffee Mug</t>
        </is>
      </c>
      <c r="G205" s="5" t="inlineStr">
        <is>
          <t>Home</t>
        </is>
      </c>
      <c r="H205" s="5" t="n">
        <v>1</v>
      </c>
      <c r="I205" s="7" t="n">
        <v>349</v>
      </c>
      <c r="J205" s="8">
        <f>H205*I205</f>
        <v/>
      </c>
      <c r="K205" s="5" t="inlineStr">
        <is>
          <t>Credit Card</t>
        </is>
      </c>
      <c r="L205" s="5" t="inlineStr">
        <is>
          <t>Online</t>
        </is>
      </c>
      <c r="M205" s="9">
        <f>TEXT(B205,"mmm-yyyy")</f>
        <v/>
      </c>
      <c r="N205" s="9">
        <f>DATEDIF(B205,TODAY(),"d")</f>
        <v/>
      </c>
      <c r="O205" s="10">
        <f>NOW()</f>
        <v/>
      </c>
    </row>
    <row r="206">
      <c r="A206" s="5" t="inlineStr">
        <is>
          <t>T0205</t>
        </is>
      </c>
      <c r="B206" s="6" t="n">
        <v>46016</v>
      </c>
      <c r="C206" s="5" t="inlineStr">
        <is>
          <t>C028</t>
        </is>
      </c>
      <c r="D206" s="5" t="inlineStr">
        <is>
          <t>Tara Shah</t>
        </is>
      </c>
      <c r="E206" s="5" t="inlineStr">
        <is>
          <t>South</t>
        </is>
      </c>
      <c r="F206" s="5" t="inlineStr">
        <is>
          <t>Coffee Mug</t>
        </is>
      </c>
      <c r="G206" s="5" t="inlineStr">
        <is>
          <t>Home</t>
        </is>
      </c>
      <c r="H206" s="5" t="n">
        <v>2</v>
      </c>
      <c r="I206" s="7" t="n">
        <v>349</v>
      </c>
      <c r="J206" s="8">
        <f>H206*I206</f>
        <v/>
      </c>
      <c r="K206" s="5" t="inlineStr">
        <is>
          <t>Net Banking</t>
        </is>
      </c>
      <c r="L206" s="5" t="inlineStr">
        <is>
          <t>Online</t>
        </is>
      </c>
      <c r="M206" s="9">
        <f>TEXT(B206,"mmm-yyyy")</f>
        <v/>
      </c>
      <c r="N206" s="9">
        <f>DATEDIF(B206,TODAY(),"d")</f>
        <v/>
      </c>
      <c r="O206" s="10">
        <f>NOW()</f>
        <v/>
      </c>
    </row>
    <row r="207">
      <c r="A207" s="5" t="inlineStr">
        <is>
          <t>T0206</t>
        </is>
      </c>
      <c r="B207" s="6" t="n">
        <v>46097</v>
      </c>
      <c r="C207" s="5" t="inlineStr">
        <is>
          <t>C028</t>
        </is>
      </c>
      <c r="D207" s="5" t="inlineStr">
        <is>
          <t>Tara Shah</t>
        </is>
      </c>
      <c r="E207" s="5" t="inlineStr">
        <is>
          <t>Central</t>
        </is>
      </c>
      <c r="F207" s="5" t="inlineStr">
        <is>
          <t>Coffee Mug</t>
        </is>
      </c>
      <c r="G207" s="5" t="inlineStr">
        <is>
          <t>Home</t>
        </is>
      </c>
      <c r="H207" s="5" t="n">
        <v>6</v>
      </c>
      <c r="I207" s="7" t="n">
        <v>349</v>
      </c>
      <c r="J207" s="8">
        <f>H207*I207</f>
        <v/>
      </c>
      <c r="K207" s="5" t="inlineStr">
        <is>
          <t>Net Banking</t>
        </is>
      </c>
      <c r="L207" s="5" t="inlineStr">
        <is>
          <t>Mobile App</t>
        </is>
      </c>
      <c r="M207" s="9">
        <f>TEXT(B207,"mmm-yyyy")</f>
        <v/>
      </c>
      <c r="N207" s="9">
        <f>DATEDIF(B207,TODAY(),"d")</f>
        <v/>
      </c>
      <c r="O207" s="10">
        <f>NOW()</f>
        <v/>
      </c>
    </row>
    <row r="208">
      <c r="A208" s="5" t="inlineStr">
        <is>
          <t>T0207</t>
        </is>
      </c>
      <c r="B208" s="6" t="n">
        <v>46228</v>
      </c>
      <c r="C208" s="5" t="inlineStr">
        <is>
          <t>C001</t>
        </is>
      </c>
      <c r="D208" s="5" t="inlineStr">
        <is>
          <t>Aarav Patel</t>
        </is>
      </c>
      <c r="E208" s="5" t="inlineStr">
        <is>
          <t>South</t>
        </is>
      </c>
      <c r="F208" s="5" t="inlineStr">
        <is>
          <t>Headphones</t>
        </is>
      </c>
      <c r="G208" s="5" t="inlineStr">
        <is>
          <t>Electronics</t>
        </is>
      </c>
      <c r="H208" s="5" t="n">
        <v>5</v>
      </c>
      <c r="I208" s="7" t="n">
        <v>2499</v>
      </c>
      <c r="J208" s="8">
        <f>H208*I208</f>
        <v/>
      </c>
      <c r="K208" s="5" t="inlineStr">
        <is>
          <t>UPI</t>
        </is>
      </c>
      <c r="L208" s="5" t="inlineStr">
        <is>
          <t>Online</t>
        </is>
      </c>
      <c r="M208" s="9">
        <f>TEXT(B208,"mmm-yyyy")</f>
        <v/>
      </c>
      <c r="N208" s="9">
        <f>DATEDIF(B208,TODAY(),"d")</f>
        <v/>
      </c>
      <c r="O208" s="10">
        <f>NOW()</f>
        <v/>
      </c>
    </row>
    <row r="209">
      <c r="A209" s="5" t="inlineStr">
        <is>
          <t>T0208</t>
        </is>
      </c>
      <c r="B209" s="6" t="n">
        <v>45937</v>
      </c>
      <c r="C209" s="5" t="inlineStr">
        <is>
          <t>C023</t>
        </is>
      </c>
      <c r="D209" s="5" t="inlineStr">
        <is>
          <t>Yash Mehta</t>
        </is>
      </c>
      <c r="E209" s="5" t="inlineStr">
        <is>
          <t>South</t>
        </is>
      </c>
      <c r="F209" s="5" t="inlineStr">
        <is>
          <t>Premium Pen</t>
        </is>
      </c>
      <c r="G209" s="5" t="inlineStr">
        <is>
          <t>Stationery</t>
        </is>
      </c>
      <c r="H209" s="5" t="n">
        <v>5</v>
      </c>
      <c r="I209" s="7" t="n">
        <v>399</v>
      </c>
      <c r="J209" s="8">
        <f>H209*I209</f>
        <v/>
      </c>
      <c r="K209" s="5" t="inlineStr">
        <is>
          <t>UPI</t>
        </is>
      </c>
      <c r="L209" s="5" t="inlineStr">
        <is>
          <t>Online</t>
        </is>
      </c>
      <c r="M209" s="9">
        <f>TEXT(B209,"mmm-yyyy")</f>
        <v/>
      </c>
      <c r="N209" s="9">
        <f>DATEDIF(B209,TODAY(),"d")</f>
        <v/>
      </c>
      <c r="O209" s="10">
        <f>NOW()</f>
        <v/>
      </c>
    </row>
    <row r="210">
      <c r="A210" s="5" t="inlineStr">
        <is>
          <t>T0209</t>
        </is>
      </c>
      <c r="B210" s="6" t="n">
        <v>45804</v>
      </c>
      <c r="C210" s="5" t="inlineStr">
        <is>
          <t>C019</t>
        </is>
      </c>
      <c r="D210" s="5" t="inlineStr">
        <is>
          <t>Dhruv Joshi</t>
        </is>
      </c>
      <c r="E210" s="5" t="inlineStr">
        <is>
          <t>West</t>
        </is>
      </c>
      <c r="F210" s="5" t="inlineStr">
        <is>
          <t>Backpack</t>
        </is>
      </c>
      <c r="G210" s="5" t="inlineStr">
        <is>
          <t>Lifestyle</t>
        </is>
      </c>
      <c r="H210" s="5" t="n">
        <v>1</v>
      </c>
      <c r="I210" s="7" t="n">
        <v>1499</v>
      </c>
      <c r="J210" s="8">
        <f>H210*I210</f>
        <v/>
      </c>
      <c r="K210" s="5" t="inlineStr">
        <is>
          <t>UPI</t>
        </is>
      </c>
      <c r="L210" s="5" t="inlineStr">
        <is>
          <t>Mobile App</t>
        </is>
      </c>
      <c r="M210" s="9">
        <f>TEXT(B210,"mmm-yyyy")</f>
        <v/>
      </c>
      <c r="N210" s="9">
        <f>DATEDIF(B210,TODAY(),"d")</f>
        <v/>
      </c>
      <c r="O210" s="10">
        <f>NOW()</f>
        <v/>
      </c>
    </row>
    <row r="211">
      <c r="A211" s="5" t="inlineStr">
        <is>
          <t>T0210</t>
        </is>
      </c>
      <c r="B211" s="6" t="n">
        <v>46201</v>
      </c>
      <c r="C211" s="5" t="inlineStr">
        <is>
          <t>C007</t>
        </is>
      </c>
      <c r="D211" s="5" t="inlineStr">
        <is>
          <t>Reyansh Modi</t>
        </is>
      </c>
      <c r="E211" s="5" t="inlineStr">
        <is>
          <t>South</t>
        </is>
      </c>
      <c r="F211" s="5" t="inlineStr">
        <is>
          <t>Backpack</t>
        </is>
      </c>
      <c r="G211" s="5" t="inlineStr">
        <is>
          <t>Lifestyle</t>
        </is>
      </c>
      <c r="H211" s="5" t="n">
        <v>2</v>
      </c>
      <c r="I211" s="7" t="n">
        <v>1499</v>
      </c>
      <c r="J211" s="8">
        <f>H211*I211</f>
        <v/>
      </c>
      <c r="K211" s="5" t="inlineStr">
        <is>
          <t>Credit Card</t>
        </is>
      </c>
      <c r="L211" s="5" t="inlineStr">
        <is>
          <t>Store</t>
        </is>
      </c>
      <c r="M211" s="9">
        <f>TEXT(B211,"mmm-yyyy")</f>
        <v/>
      </c>
      <c r="N211" s="9">
        <f>DATEDIF(B211,TODAY(),"d")</f>
        <v/>
      </c>
      <c r="O211" s="10">
        <f>NOW()</f>
        <v/>
      </c>
    </row>
    <row r="212">
      <c r="A212" s="5" t="inlineStr">
        <is>
          <t>T0211</t>
        </is>
      </c>
      <c r="B212" s="6" t="n">
        <v>45977</v>
      </c>
      <c r="C212" s="5" t="inlineStr">
        <is>
          <t>C024</t>
        </is>
      </c>
      <c r="D212" s="5" t="inlineStr">
        <is>
          <t>Saanvi Dave</t>
        </is>
      </c>
      <c r="E212" s="5" t="inlineStr">
        <is>
          <t>Central</t>
        </is>
      </c>
      <c r="F212" s="5" t="inlineStr">
        <is>
          <t>Water Bottle</t>
        </is>
      </c>
      <c r="G212" s="5" t="inlineStr">
        <is>
          <t>Lifestyle</t>
        </is>
      </c>
      <c r="H212" s="5" t="n">
        <v>3</v>
      </c>
      <c r="I212" s="7" t="n">
        <v>599</v>
      </c>
      <c r="J212" s="8">
        <f>H212*I212</f>
        <v/>
      </c>
      <c r="K212" s="5" t="inlineStr">
        <is>
          <t>Net Banking</t>
        </is>
      </c>
      <c r="L212" s="5" t="inlineStr">
        <is>
          <t>Online</t>
        </is>
      </c>
      <c r="M212" s="9">
        <f>TEXT(B212,"mmm-yyyy")</f>
        <v/>
      </c>
      <c r="N212" s="9">
        <f>DATEDIF(B212,TODAY(),"d")</f>
        <v/>
      </c>
      <c r="O212" s="10">
        <f>NOW()</f>
        <v/>
      </c>
    </row>
    <row r="213">
      <c r="A213" s="5" t="inlineStr">
        <is>
          <t>T0212</t>
        </is>
      </c>
      <c r="B213" s="6" t="n">
        <v>45711</v>
      </c>
      <c r="C213" s="5" t="inlineStr">
        <is>
          <t>C005</t>
        </is>
      </c>
      <c r="D213" s="5" t="inlineStr">
        <is>
          <t>Arjun Joshi</t>
        </is>
      </c>
      <c r="E213" s="5" t="inlineStr">
        <is>
          <t>West</t>
        </is>
      </c>
      <c r="F213" s="5" t="inlineStr">
        <is>
          <t>USB-C Hub</t>
        </is>
      </c>
      <c r="G213" s="5" t="inlineStr">
        <is>
          <t>Electronics</t>
        </is>
      </c>
      <c r="H213" s="5" t="n">
        <v>3</v>
      </c>
      <c r="I213" s="7" t="n">
        <v>1899</v>
      </c>
      <c r="J213" s="8">
        <f>H213*I213</f>
        <v/>
      </c>
      <c r="K213" s="5" t="inlineStr">
        <is>
          <t>UPI</t>
        </is>
      </c>
      <c r="L213" s="5" t="inlineStr">
        <is>
          <t>Store</t>
        </is>
      </c>
      <c r="M213" s="9">
        <f>TEXT(B213,"mmm-yyyy")</f>
        <v/>
      </c>
      <c r="N213" s="9">
        <f>DATEDIF(B213,TODAY(),"d")</f>
        <v/>
      </c>
      <c r="O213" s="10">
        <f>NOW()</f>
        <v/>
      </c>
    </row>
    <row r="214">
      <c r="A214" s="5" t="inlineStr">
        <is>
          <t>T0213</t>
        </is>
      </c>
      <c r="B214" s="6" t="n">
        <v>46111</v>
      </c>
      <c r="C214" s="5" t="inlineStr">
        <is>
          <t>C022</t>
        </is>
      </c>
      <c r="D214" s="5" t="inlineStr">
        <is>
          <t>Pari Patel</t>
        </is>
      </c>
      <c r="E214" s="5" t="inlineStr">
        <is>
          <t>East</t>
        </is>
      </c>
      <c r="F214" s="5" t="inlineStr">
        <is>
          <t>Backpack</t>
        </is>
      </c>
      <c r="G214" s="5" t="inlineStr">
        <is>
          <t>Lifestyle</t>
        </is>
      </c>
      <c r="H214" s="5" t="n">
        <v>2</v>
      </c>
      <c r="I214" s="7" t="n">
        <v>1499</v>
      </c>
      <c r="J214" s="8">
        <f>H214*I214</f>
        <v/>
      </c>
      <c r="K214" s="5" t="inlineStr">
        <is>
          <t>Cash</t>
        </is>
      </c>
      <c r="L214" s="5" t="inlineStr">
        <is>
          <t>Store</t>
        </is>
      </c>
      <c r="M214" s="9">
        <f>TEXT(B214,"mmm-yyyy")</f>
        <v/>
      </c>
      <c r="N214" s="9">
        <f>DATEDIF(B214,TODAY(),"d")</f>
        <v/>
      </c>
      <c r="O214" s="10">
        <f>NOW()</f>
        <v/>
      </c>
    </row>
    <row r="215">
      <c r="A215" s="5" t="inlineStr">
        <is>
          <t>T0214</t>
        </is>
      </c>
      <c r="B215" s="6" t="n">
        <v>45878</v>
      </c>
      <c r="C215" s="5" t="inlineStr">
        <is>
          <t>C025</t>
        </is>
      </c>
      <c r="D215" s="5" t="inlineStr">
        <is>
          <t>Neil Trivedi</t>
        </is>
      </c>
      <c r="E215" s="5" t="inlineStr">
        <is>
          <t>East</t>
        </is>
      </c>
      <c r="F215" s="5" t="inlineStr">
        <is>
          <t>Coffee Mug</t>
        </is>
      </c>
      <c r="G215" s="5" t="inlineStr">
        <is>
          <t>Home</t>
        </is>
      </c>
      <c r="H215" s="5" t="n">
        <v>1</v>
      </c>
      <c r="I215" s="7" t="n">
        <v>349</v>
      </c>
      <c r="J215" s="8">
        <f>H215*I215</f>
        <v/>
      </c>
      <c r="K215" s="5" t="inlineStr">
        <is>
          <t>UPI</t>
        </is>
      </c>
      <c r="L215" s="5" t="inlineStr">
        <is>
          <t>Store</t>
        </is>
      </c>
      <c r="M215" s="9">
        <f>TEXT(B215,"mmm-yyyy")</f>
        <v/>
      </c>
      <c r="N215" s="9">
        <f>DATEDIF(B215,TODAY(),"d")</f>
        <v/>
      </c>
      <c r="O215" s="10">
        <f>NOW()</f>
        <v/>
      </c>
    </row>
    <row r="216">
      <c r="A216" s="5" t="inlineStr">
        <is>
          <t>T0215</t>
        </is>
      </c>
      <c r="B216" s="6" t="n">
        <v>46265</v>
      </c>
      <c r="C216" s="5" t="inlineStr">
        <is>
          <t>C016</t>
        </is>
      </c>
      <c r="D216" s="5" t="inlineStr">
        <is>
          <t>Avni Patel</t>
        </is>
      </c>
      <c r="E216" s="5" t="inlineStr">
        <is>
          <t>West</t>
        </is>
      </c>
      <c r="F216" s="5" t="inlineStr">
        <is>
          <t>Coffee Mug</t>
        </is>
      </c>
      <c r="G216" s="5" t="inlineStr">
        <is>
          <t>Home</t>
        </is>
      </c>
      <c r="H216" s="5" t="n">
        <v>3</v>
      </c>
      <c r="I216" s="7" t="n">
        <v>349</v>
      </c>
      <c r="J216" s="8">
        <f>H216*I216</f>
        <v/>
      </c>
      <c r="K216" s="5" t="inlineStr">
        <is>
          <t>Credit Card</t>
        </is>
      </c>
      <c r="L216" s="5" t="inlineStr">
        <is>
          <t>Store</t>
        </is>
      </c>
      <c r="M216" s="9">
        <f>TEXT(B216,"mmm-yyyy")</f>
        <v/>
      </c>
      <c r="N216" s="9">
        <f>DATEDIF(B216,TODAY(),"d")</f>
        <v/>
      </c>
      <c r="O216" s="10">
        <f>NOW()</f>
        <v/>
      </c>
    </row>
    <row r="217">
      <c r="A217" s="5" t="inlineStr">
        <is>
          <t>T0216</t>
        </is>
      </c>
      <c r="B217" s="6" t="n">
        <v>46271</v>
      </c>
      <c r="C217" s="5" t="inlineStr">
        <is>
          <t>C002</t>
        </is>
      </c>
      <c r="D217" s="5" t="inlineStr">
        <is>
          <t>Diya Shah</t>
        </is>
      </c>
      <c r="E217" s="5" t="inlineStr">
        <is>
          <t>North</t>
        </is>
      </c>
      <c r="F217" s="5" t="inlineStr">
        <is>
          <t>Wireless Mouse</t>
        </is>
      </c>
      <c r="G217" s="5" t="inlineStr">
        <is>
          <t>Electronics</t>
        </is>
      </c>
      <c r="H217" s="5" t="n">
        <v>1</v>
      </c>
      <c r="I217" s="7" t="n">
        <v>799</v>
      </c>
      <c r="J217" s="8">
        <f>H217*I217</f>
        <v/>
      </c>
      <c r="K217" s="5" t="inlineStr">
        <is>
          <t>Credit Card</t>
        </is>
      </c>
      <c r="L217" s="5" t="inlineStr">
        <is>
          <t>Store</t>
        </is>
      </c>
      <c r="M217" s="9">
        <f>TEXT(B217,"mmm-yyyy")</f>
        <v/>
      </c>
      <c r="N217" s="9">
        <f>DATEDIF(B217,TODAY(),"d")</f>
        <v/>
      </c>
      <c r="O217" s="10">
        <f>NOW()</f>
        <v/>
      </c>
    </row>
    <row r="218">
      <c r="A218" s="5" t="inlineStr">
        <is>
          <t>T0217</t>
        </is>
      </c>
      <c r="B218" s="6" t="n">
        <v>45954</v>
      </c>
      <c r="C218" s="5" t="inlineStr">
        <is>
          <t>C011</t>
        </is>
      </c>
      <c r="D218" s="5" t="inlineStr">
        <is>
          <t>Krish Dave</t>
        </is>
      </c>
      <c r="E218" s="5" t="inlineStr">
        <is>
          <t>East</t>
        </is>
      </c>
      <c r="F218" s="5" t="inlineStr">
        <is>
          <t>Keyboard</t>
        </is>
      </c>
      <c r="G218" s="5" t="inlineStr">
        <is>
          <t>Electronics</t>
        </is>
      </c>
      <c r="H218" s="5" t="n">
        <v>1</v>
      </c>
      <c r="I218" s="7" t="n">
        <v>1299</v>
      </c>
      <c r="J218" s="8">
        <f>H218*I218</f>
        <v/>
      </c>
      <c r="K218" s="5" t="inlineStr">
        <is>
          <t>Credit Card</t>
        </is>
      </c>
      <c r="L218" s="5" t="inlineStr">
        <is>
          <t>Online</t>
        </is>
      </c>
      <c r="M218" s="9">
        <f>TEXT(B218,"mmm-yyyy")</f>
        <v/>
      </c>
      <c r="N218" s="9">
        <f>DATEDIF(B218,TODAY(),"d")</f>
        <v/>
      </c>
      <c r="O218" s="10">
        <f>NOW()</f>
        <v/>
      </c>
    </row>
    <row r="219">
      <c r="A219" s="5" t="inlineStr">
        <is>
          <t>T0218</t>
        </is>
      </c>
      <c r="B219" s="6" t="n">
        <v>46047</v>
      </c>
      <c r="C219" s="5" t="inlineStr">
        <is>
          <t>C018</t>
        </is>
      </c>
      <c r="D219" s="5" t="inlineStr">
        <is>
          <t>Navya Desai</t>
        </is>
      </c>
      <c r="E219" s="5" t="inlineStr">
        <is>
          <t>South</t>
        </is>
      </c>
      <c r="F219" s="5" t="inlineStr">
        <is>
          <t>Notebook Pack</t>
        </is>
      </c>
      <c r="G219" s="5" t="inlineStr">
        <is>
          <t>Stationery</t>
        </is>
      </c>
      <c r="H219" s="5" t="n">
        <v>2</v>
      </c>
      <c r="I219" s="7" t="n">
        <v>249</v>
      </c>
      <c r="J219" s="8">
        <f>H219*I219</f>
        <v/>
      </c>
      <c r="K219" s="5" t="inlineStr">
        <is>
          <t>UPI</t>
        </is>
      </c>
      <c r="L219" s="5" t="inlineStr">
        <is>
          <t>Store</t>
        </is>
      </c>
      <c r="M219" s="9">
        <f>TEXT(B219,"mmm-yyyy")</f>
        <v/>
      </c>
      <c r="N219" s="9">
        <f>DATEDIF(B219,TODAY(),"d")</f>
        <v/>
      </c>
      <c r="O219" s="10">
        <f>NOW()</f>
        <v/>
      </c>
    </row>
    <row r="220">
      <c r="A220" s="5" t="inlineStr">
        <is>
          <t>T0219</t>
        </is>
      </c>
      <c r="B220" s="6" t="n">
        <v>45701</v>
      </c>
      <c r="C220" s="5" t="inlineStr">
        <is>
          <t>C014</t>
        </is>
      </c>
      <c r="D220" s="5" t="inlineStr">
        <is>
          <t>Aanya Parmar</t>
        </is>
      </c>
      <c r="E220" s="5" t="inlineStr">
        <is>
          <t>West</t>
        </is>
      </c>
      <c r="F220" s="5" t="inlineStr">
        <is>
          <t>Wireless Mouse</t>
        </is>
      </c>
      <c r="G220" s="5" t="inlineStr">
        <is>
          <t>Electronics</t>
        </is>
      </c>
      <c r="H220" s="5" t="n">
        <v>2</v>
      </c>
      <c r="I220" s="7" t="n">
        <v>799</v>
      </c>
      <c r="J220" s="8">
        <f>H220*I220</f>
        <v/>
      </c>
      <c r="K220" s="5" t="inlineStr">
        <is>
          <t>Debit Card</t>
        </is>
      </c>
      <c r="L220" s="5" t="inlineStr">
        <is>
          <t>Mobile App</t>
        </is>
      </c>
      <c r="M220" s="9">
        <f>TEXT(B220,"mmm-yyyy")</f>
        <v/>
      </c>
      <c r="N220" s="9">
        <f>DATEDIF(B220,TODAY(),"d")</f>
        <v/>
      </c>
      <c r="O220" s="10">
        <f>NOW()</f>
        <v/>
      </c>
    </row>
    <row r="221">
      <c r="A221" s="5" t="inlineStr">
        <is>
          <t>T0220</t>
        </is>
      </c>
      <c r="B221" s="6" t="n">
        <v>46097</v>
      </c>
      <c r="C221" s="5" t="inlineStr">
        <is>
          <t>C019</t>
        </is>
      </c>
      <c r="D221" s="5" t="inlineStr">
        <is>
          <t>Dhruv Joshi</t>
        </is>
      </c>
      <c r="E221" s="5" t="inlineStr">
        <is>
          <t>East</t>
        </is>
      </c>
      <c r="F221" s="5" t="inlineStr">
        <is>
          <t>Backpack</t>
        </is>
      </c>
      <c r="G221" s="5" t="inlineStr">
        <is>
          <t>Lifestyle</t>
        </is>
      </c>
      <c r="H221" s="5" t="n">
        <v>3</v>
      </c>
      <c r="I221" s="7" t="n">
        <v>1499</v>
      </c>
      <c r="J221" s="8">
        <f>H221*I221</f>
        <v/>
      </c>
      <c r="K221" s="5" t="inlineStr">
        <is>
          <t>Debit Card</t>
        </is>
      </c>
      <c r="L221" s="5" t="inlineStr">
        <is>
          <t>Online</t>
        </is>
      </c>
      <c r="M221" s="9">
        <f>TEXT(B221,"mmm-yyyy")</f>
        <v/>
      </c>
      <c r="N221" s="9">
        <f>DATEDIF(B221,TODAY(),"d")</f>
        <v/>
      </c>
      <c r="O221" s="10">
        <f>NOW()</f>
        <v/>
      </c>
    </row>
    <row r="222">
      <c r="A222" s="5" t="inlineStr">
        <is>
          <t>T0221</t>
        </is>
      </c>
      <c r="B222" s="6" t="n">
        <v>46072</v>
      </c>
      <c r="C222" s="5" t="inlineStr">
        <is>
          <t>C001</t>
        </is>
      </c>
      <c r="D222" s="5" t="inlineStr">
        <is>
          <t>Aarav Patel</t>
        </is>
      </c>
      <c r="E222" s="5" t="inlineStr">
        <is>
          <t>Central</t>
        </is>
      </c>
      <c r="F222" s="5" t="inlineStr">
        <is>
          <t>Water Bottle</t>
        </is>
      </c>
      <c r="G222" s="5" t="inlineStr">
        <is>
          <t>Lifestyle</t>
        </is>
      </c>
      <c r="H222" s="5" t="n">
        <v>1</v>
      </c>
      <c r="I222" s="7" t="n">
        <v>599</v>
      </c>
      <c r="J222" s="8">
        <f>H222*I222</f>
        <v/>
      </c>
      <c r="K222" s="5" t="inlineStr">
        <is>
          <t>Cash</t>
        </is>
      </c>
      <c r="L222" s="5" t="inlineStr">
        <is>
          <t>Mobile App</t>
        </is>
      </c>
      <c r="M222" s="9">
        <f>TEXT(B222,"mmm-yyyy")</f>
        <v/>
      </c>
      <c r="N222" s="9">
        <f>DATEDIF(B222,TODAY(),"d")</f>
        <v/>
      </c>
      <c r="O222" s="10">
        <f>NOW()</f>
        <v/>
      </c>
    </row>
    <row r="223">
      <c r="A223" s="5" t="inlineStr">
        <is>
          <t>T0222</t>
        </is>
      </c>
      <c r="B223" s="6" t="n">
        <v>46028</v>
      </c>
      <c r="C223" s="5" t="inlineStr">
        <is>
          <t>C003</t>
        </is>
      </c>
      <c r="D223" s="5" t="inlineStr">
        <is>
          <t>Vivaan Mehta</t>
        </is>
      </c>
      <c r="E223" s="5" t="inlineStr">
        <is>
          <t>North</t>
        </is>
      </c>
      <c r="F223" s="5" t="inlineStr">
        <is>
          <t>Backpack</t>
        </is>
      </c>
      <c r="G223" s="5" t="inlineStr">
        <is>
          <t>Lifestyle</t>
        </is>
      </c>
      <c r="H223" s="5" t="n">
        <v>4</v>
      </c>
      <c r="I223" s="7" t="n">
        <v>1499</v>
      </c>
      <c r="J223" s="8">
        <f>H223*I223</f>
        <v/>
      </c>
      <c r="K223" s="5" t="inlineStr">
        <is>
          <t>Cash</t>
        </is>
      </c>
      <c r="L223" s="5" t="inlineStr">
        <is>
          <t>Mobile App</t>
        </is>
      </c>
      <c r="M223" s="9">
        <f>TEXT(B223,"mmm-yyyy")</f>
        <v/>
      </c>
      <c r="N223" s="9">
        <f>DATEDIF(B223,TODAY(),"d")</f>
        <v/>
      </c>
      <c r="O223" s="10">
        <f>NOW()</f>
        <v/>
      </c>
    </row>
    <row r="224">
      <c r="A224" s="5" t="inlineStr">
        <is>
          <t>T0223</t>
        </is>
      </c>
      <c r="B224" s="6" t="n">
        <v>46068</v>
      </c>
      <c r="C224" s="5" t="inlineStr">
        <is>
          <t>C017</t>
        </is>
      </c>
      <c r="D224" s="5" t="inlineStr">
        <is>
          <t>Kabir Mehta</t>
        </is>
      </c>
      <c r="E224" s="5" t="inlineStr">
        <is>
          <t>South</t>
        </is>
      </c>
      <c r="F224" s="5" t="inlineStr">
        <is>
          <t>Keyboard</t>
        </is>
      </c>
      <c r="G224" s="5" t="inlineStr">
        <is>
          <t>Electronics</t>
        </is>
      </c>
      <c r="H224" s="5" t="n">
        <v>2</v>
      </c>
      <c r="I224" s="7" t="n">
        <v>1299</v>
      </c>
      <c r="J224" s="8">
        <f>H224*I224</f>
        <v/>
      </c>
      <c r="K224" s="5" t="inlineStr">
        <is>
          <t>Debit Card</t>
        </is>
      </c>
      <c r="L224" s="5" t="inlineStr">
        <is>
          <t>Online</t>
        </is>
      </c>
      <c r="M224" s="9">
        <f>TEXT(B224,"mmm-yyyy")</f>
        <v/>
      </c>
      <c r="N224" s="9">
        <f>DATEDIF(B224,TODAY(),"d")</f>
        <v/>
      </c>
      <c r="O224" s="10">
        <f>NOW()</f>
        <v/>
      </c>
    </row>
    <row r="225">
      <c r="A225" s="5" t="inlineStr">
        <is>
          <t>T0224</t>
        </is>
      </c>
      <c r="B225" s="6" t="n">
        <v>45999</v>
      </c>
      <c r="C225" s="5" t="inlineStr">
        <is>
          <t>C025</t>
        </is>
      </c>
      <c r="D225" s="5" t="inlineStr">
        <is>
          <t>Neil Trivedi</t>
        </is>
      </c>
      <c r="E225" s="5" t="inlineStr">
        <is>
          <t>West</t>
        </is>
      </c>
      <c r="F225" s="5" t="inlineStr">
        <is>
          <t>USB-C Hub</t>
        </is>
      </c>
      <c r="G225" s="5" t="inlineStr">
        <is>
          <t>Electronics</t>
        </is>
      </c>
      <c r="H225" s="5" t="n">
        <v>1</v>
      </c>
      <c r="I225" s="7" t="n">
        <v>1899</v>
      </c>
      <c r="J225" s="8">
        <f>H225*I225</f>
        <v/>
      </c>
      <c r="K225" s="5" t="inlineStr">
        <is>
          <t>Net Banking</t>
        </is>
      </c>
      <c r="L225" s="5" t="inlineStr">
        <is>
          <t>Mobile App</t>
        </is>
      </c>
      <c r="M225" s="9">
        <f>TEXT(B225,"mmm-yyyy")</f>
        <v/>
      </c>
      <c r="N225" s="9">
        <f>DATEDIF(B225,TODAY(),"d")</f>
        <v/>
      </c>
      <c r="O225" s="10">
        <f>NOW()</f>
        <v/>
      </c>
    </row>
    <row r="226">
      <c r="A226" s="5" t="inlineStr">
        <is>
          <t>T0225</t>
        </is>
      </c>
      <c r="B226" s="6" t="n">
        <v>45856</v>
      </c>
      <c r="C226" s="5" t="inlineStr">
        <is>
          <t>C029</t>
        </is>
      </c>
      <c r="D226" s="5" t="inlineStr">
        <is>
          <t>Om Patel</t>
        </is>
      </c>
      <c r="E226" s="5" t="inlineStr">
        <is>
          <t>North</t>
        </is>
      </c>
      <c r="F226" s="5" t="inlineStr">
        <is>
          <t>Water Bottle</t>
        </is>
      </c>
      <c r="G226" s="5" t="inlineStr">
        <is>
          <t>Lifestyle</t>
        </is>
      </c>
      <c r="H226" s="5" t="n">
        <v>2</v>
      </c>
      <c r="I226" s="7" t="n">
        <v>599</v>
      </c>
      <c r="J226" s="8">
        <f>H226*I226</f>
        <v/>
      </c>
      <c r="K226" s="5" t="inlineStr">
        <is>
          <t>Credit Card</t>
        </is>
      </c>
      <c r="L226" s="5" t="inlineStr">
        <is>
          <t>Online</t>
        </is>
      </c>
      <c r="M226" s="9">
        <f>TEXT(B226,"mmm-yyyy")</f>
        <v/>
      </c>
      <c r="N226" s="9">
        <f>DATEDIF(B226,TODAY(),"d")</f>
        <v/>
      </c>
      <c r="O226" s="10">
        <f>NOW()</f>
        <v/>
      </c>
    </row>
    <row r="227">
      <c r="A227" s="5" t="inlineStr">
        <is>
          <t>T0226</t>
        </is>
      </c>
      <c r="B227" s="6" t="n">
        <v>45807</v>
      </c>
      <c r="C227" s="5" t="inlineStr">
        <is>
          <t>C009</t>
        </is>
      </c>
      <c r="D227" s="5" t="inlineStr">
        <is>
          <t>Aditya Patel</t>
        </is>
      </c>
      <c r="E227" s="5" t="inlineStr">
        <is>
          <t>North</t>
        </is>
      </c>
      <c r="F227" s="5" t="inlineStr">
        <is>
          <t>Notebook Pack</t>
        </is>
      </c>
      <c r="G227" s="5" t="inlineStr">
        <is>
          <t>Stationery</t>
        </is>
      </c>
      <c r="H227" s="5" t="n">
        <v>1</v>
      </c>
      <c r="I227" s="7" t="n">
        <v>249</v>
      </c>
      <c r="J227" s="8">
        <f>H227*I227</f>
        <v/>
      </c>
      <c r="K227" s="5" t="inlineStr">
        <is>
          <t>UPI</t>
        </is>
      </c>
      <c r="L227" s="5" t="inlineStr">
        <is>
          <t>Online</t>
        </is>
      </c>
      <c r="M227" s="9">
        <f>TEXT(B227,"mmm-yyyy")</f>
        <v/>
      </c>
      <c r="N227" s="9">
        <f>DATEDIF(B227,TODAY(),"d")</f>
        <v/>
      </c>
      <c r="O227" s="10">
        <f>NOW()</f>
        <v/>
      </c>
    </row>
    <row r="228">
      <c r="A228" s="5" t="inlineStr">
        <is>
          <t>T0227</t>
        </is>
      </c>
      <c r="B228" s="6" t="n">
        <v>46301</v>
      </c>
      <c r="C228" s="5" t="inlineStr">
        <is>
          <t>C016</t>
        </is>
      </c>
      <c r="D228" s="5" t="inlineStr">
        <is>
          <t>Avni Patel</t>
        </is>
      </c>
      <c r="E228" s="5" t="inlineStr">
        <is>
          <t>Central</t>
        </is>
      </c>
      <c r="F228" s="5" t="inlineStr">
        <is>
          <t>Desk Lamp</t>
        </is>
      </c>
      <c r="G228" s="5" t="inlineStr">
        <is>
          <t>Home</t>
        </is>
      </c>
      <c r="H228" s="5" t="n">
        <v>3</v>
      </c>
      <c r="I228" s="7" t="n">
        <v>1099</v>
      </c>
      <c r="J228" s="8">
        <f>H228*I228</f>
        <v/>
      </c>
      <c r="K228" s="5" t="inlineStr">
        <is>
          <t>Cash</t>
        </is>
      </c>
      <c r="L228" s="5" t="inlineStr">
        <is>
          <t>Mobile App</t>
        </is>
      </c>
      <c r="M228" s="9">
        <f>TEXT(B228,"mmm-yyyy")</f>
        <v/>
      </c>
      <c r="N228" s="9">
        <f>DATEDIF(B228,TODAY(),"d")</f>
        <v/>
      </c>
      <c r="O228" s="10">
        <f>NOW()</f>
        <v/>
      </c>
    </row>
    <row r="229">
      <c r="A229" s="5" t="inlineStr">
        <is>
          <t>T0228</t>
        </is>
      </c>
      <c r="B229" s="6" t="n">
        <v>46236</v>
      </c>
      <c r="C229" s="5" t="inlineStr">
        <is>
          <t>C021</t>
        </is>
      </c>
      <c r="D229" s="5" t="inlineStr">
        <is>
          <t>Manav Shah</t>
        </is>
      </c>
      <c r="E229" s="5" t="inlineStr">
        <is>
          <t>South</t>
        </is>
      </c>
      <c r="F229" s="5" t="inlineStr">
        <is>
          <t>Headphones</t>
        </is>
      </c>
      <c r="G229" s="5" t="inlineStr">
        <is>
          <t>Electronics</t>
        </is>
      </c>
      <c r="H229" s="5" t="n">
        <v>1</v>
      </c>
      <c r="I229" s="7" t="n">
        <v>2499</v>
      </c>
      <c r="J229" s="8">
        <f>H229*I229</f>
        <v/>
      </c>
      <c r="K229" s="5" t="inlineStr">
        <is>
          <t>Credit Card</t>
        </is>
      </c>
      <c r="L229" s="5" t="inlineStr">
        <is>
          <t>Store</t>
        </is>
      </c>
      <c r="M229" s="9">
        <f>TEXT(B229,"mmm-yyyy")</f>
        <v/>
      </c>
      <c r="N229" s="9">
        <f>DATEDIF(B229,TODAY(),"d")</f>
        <v/>
      </c>
      <c r="O229" s="10">
        <f>NOW()</f>
        <v/>
      </c>
    </row>
    <row r="230">
      <c r="A230" s="5" t="inlineStr">
        <is>
          <t>T0229</t>
        </is>
      </c>
      <c r="B230" s="6" t="n">
        <v>45727</v>
      </c>
      <c r="C230" s="5" t="inlineStr">
        <is>
          <t>C016</t>
        </is>
      </c>
      <c r="D230" s="5" t="inlineStr">
        <is>
          <t>Avni Patel</t>
        </is>
      </c>
      <c r="E230" s="5" t="inlineStr">
        <is>
          <t>South</t>
        </is>
      </c>
      <c r="F230" s="5" t="inlineStr">
        <is>
          <t>Desk Lamp</t>
        </is>
      </c>
      <c r="G230" s="5" t="inlineStr">
        <is>
          <t>Home</t>
        </is>
      </c>
      <c r="H230" s="5" t="n">
        <v>3</v>
      </c>
      <c r="I230" s="7" t="n">
        <v>1099</v>
      </c>
      <c r="J230" s="8">
        <f>H230*I230</f>
        <v/>
      </c>
      <c r="K230" s="5" t="inlineStr">
        <is>
          <t>Net Banking</t>
        </is>
      </c>
      <c r="L230" s="5" t="inlineStr">
        <is>
          <t>Online</t>
        </is>
      </c>
      <c r="M230" s="9">
        <f>TEXT(B230,"mmm-yyyy")</f>
        <v/>
      </c>
      <c r="N230" s="9">
        <f>DATEDIF(B230,TODAY(),"d")</f>
        <v/>
      </c>
      <c r="O230" s="10">
        <f>NOW()</f>
        <v/>
      </c>
    </row>
    <row r="231">
      <c r="A231" s="5" t="inlineStr">
        <is>
          <t>T0230</t>
        </is>
      </c>
      <c r="B231" s="6" t="n">
        <v>46018</v>
      </c>
      <c r="C231" s="5" t="inlineStr">
        <is>
          <t>C017</t>
        </is>
      </c>
      <c r="D231" s="5" t="inlineStr">
        <is>
          <t>Kabir Mehta</t>
        </is>
      </c>
      <c r="E231" s="5" t="inlineStr">
        <is>
          <t>East</t>
        </is>
      </c>
      <c r="F231" s="5" t="inlineStr">
        <is>
          <t>Keyboard</t>
        </is>
      </c>
      <c r="G231" s="5" t="inlineStr">
        <is>
          <t>Electronics</t>
        </is>
      </c>
      <c r="H231" s="5" t="n">
        <v>1</v>
      </c>
      <c r="I231" s="7" t="n">
        <v>1299</v>
      </c>
      <c r="J231" s="8">
        <f>H231*I231</f>
        <v/>
      </c>
      <c r="K231" s="5" t="inlineStr">
        <is>
          <t>UPI</t>
        </is>
      </c>
      <c r="L231" s="5" t="inlineStr">
        <is>
          <t>Online</t>
        </is>
      </c>
      <c r="M231" s="9">
        <f>TEXT(B231,"mmm-yyyy")</f>
        <v/>
      </c>
      <c r="N231" s="9">
        <f>DATEDIF(B231,TODAY(),"d")</f>
        <v/>
      </c>
      <c r="O231" s="10">
        <f>NOW()</f>
        <v/>
      </c>
    </row>
    <row r="232">
      <c r="A232" s="5" t="inlineStr">
        <is>
          <t>T0231</t>
        </is>
      </c>
      <c r="B232" s="6" t="n">
        <v>46035</v>
      </c>
      <c r="C232" s="5" t="inlineStr">
        <is>
          <t>C027</t>
        </is>
      </c>
      <c r="D232" s="5" t="inlineStr">
        <is>
          <t>Ayaan Desai</t>
        </is>
      </c>
      <c r="E232" s="5" t="inlineStr">
        <is>
          <t>West</t>
        </is>
      </c>
      <c r="F232" s="5" t="inlineStr">
        <is>
          <t>Premium Pen</t>
        </is>
      </c>
      <c r="G232" s="5" t="inlineStr">
        <is>
          <t>Stationery</t>
        </is>
      </c>
      <c r="H232" s="5" t="n">
        <v>1</v>
      </c>
      <c r="I232" s="7" t="n">
        <v>399</v>
      </c>
      <c r="J232" s="8">
        <f>H232*I232</f>
        <v/>
      </c>
      <c r="K232" s="5" t="inlineStr">
        <is>
          <t>Net Banking</t>
        </is>
      </c>
      <c r="L232" s="5" t="inlineStr">
        <is>
          <t>Mobile App</t>
        </is>
      </c>
      <c r="M232" s="9">
        <f>TEXT(B232,"mmm-yyyy")</f>
        <v/>
      </c>
      <c r="N232" s="9">
        <f>DATEDIF(B232,TODAY(),"d")</f>
        <v/>
      </c>
      <c r="O232" s="10">
        <f>NOW()</f>
        <v/>
      </c>
    </row>
    <row r="233">
      <c r="A233" s="5" t="inlineStr">
        <is>
          <t>T0232</t>
        </is>
      </c>
      <c r="B233" s="6" t="n">
        <v>46177</v>
      </c>
      <c r="C233" s="5" t="inlineStr">
        <is>
          <t>C013</t>
        </is>
      </c>
      <c r="D233" s="5" t="inlineStr">
        <is>
          <t>Rudra Desai</t>
        </is>
      </c>
      <c r="E233" s="5" t="inlineStr">
        <is>
          <t>West</t>
        </is>
      </c>
      <c r="F233" s="5" t="inlineStr">
        <is>
          <t>Desk Lamp</t>
        </is>
      </c>
      <c r="G233" s="5" t="inlineStr">
        <is>
          <t>Home</t>
        </is>
      </c>
      <c r="H233" s="5" t="n">
        <v>2</v>
      </c>
      <c r="I233" s="7" t="n">
        <v>1099</v>
      </c>
      <c r="J233" s="8">
        <f>H233*I233</f>
        <v/>
      </c>
      <c r="K233" s="5" t="inlineStr">
        <is>
          <t>Cash</t>
        </is>
      </c>
      <c r="L233" s="5" t="inlineStr">
        <is>
          <t>Mobile App</t>
        </is>
      </c>
      <c r="M233" s="9">
        <f>TEXT(B233,"mmm-yyyy")</f>
        <v/>
      </c>
      <c r="N233" s="9">
        <f>DATEDIF(B233,TODAY(),"d")</f>
        <v/>
      </c>
      <c r="O233" s="10">
        <f>NOW()</f>
        <v/>
      </c>
    </row>
    <row r="234">
      <c r="A234" s="5" t="inlineStr">
        <is>
          <t>T0233</t>
        </is>
      </c>
      <c r="B234" s="6" t="n">
        <v>45850</v>
      </c>
      <c r="C234" s="5" t="inlineStr">
        <is>
          <t>C011</t>
        </is>
      </c>
      <c r="D234" s="5" t="inlineStr">
        <is>
          <t>Krish Dave</t>
        </is>
      </c>
      <c r="E234" s="5" t="inlineStr">
        <is>
          <t>North</t>
        </is>
      </c>
      <c r="F234" s="5" t="inlineStr">
        <is>
          <t>Headphones</t>
        </is>
      </c>
      <c r="G234" s="5" t="inlineStr">
        <is>
          <t>Electronics</t>
        </is>
      </c>
      <c r="H234" s="5" t="n">
        <v>2</v>
      </c>
      <c r="I234" s="7" t="n">
        <v>2499</v>
      </c>
      <c r="J234" s="8">
        <f>H234*I234</f>
        <v/>
      </c>
      <c r="K234" s="5" t="inlineStr">
        <is>
          <t>UPI</t>
        </is>
      </c>
      <c r="L234" s="5" t="inlineStr">
        <is>
          <t>Store</t>
        </is>
      </c>
      <c r="M234" s="9">
        <f>TEXT(B234,"mmm-yyyy")</f>
        <v/>
      </c>
      <c r="N234" s="9">
        <f>DATEDIF(B234,TODAY(),"d")</f>
        <v/>
      </c>
      <c r="O234" s="10">
        <f>NOW()</f>
        <v/>
      </c>
    </row>
    <row r="235">
      <c r="A235" s="5" t="inlineStr">
        <is>
          <t>T0234</t>
        </is>
      </c>
      <c r="B235" s="6" t="n">
        <v>45763</v>
      </c>
      <c r="C235" s="5" t="inlineStr">
        <is>
          <t>C026</t>
        </is>
      </c>
      <c r="D235" s="5" t="inlineStr">
        <is>
          <t>Mira Joshi</t>
        </is>
      </c>
      <c r="E235" s="5" t="inlineStr">
        <is>
          <t>West</t>
        </is>
      </c>
      <c r="F235" s="5" t="inlineStr">
        <is>
          <t>Water Bottle</t>
        </is>
      </c>
      <c r="G235" s="5" t="inlineStr">
        <is>
          <t>Lifestyle</t>
        </is>
      </c>
      <c r="H235" s="5" t="n">
        <v>6</v>
      </c>
      <c r="I235" s="7" t="n">
        <v>599</v>
      </c>
      <c r="J235" s="8">
        <f>H235*I235</f>
        <v/>
      </c>
      <c r="K235" s="5" t="inlineStr">
        <is>
          <t>Net Banking</t>
        </is>
      </c>
      <c r="L235" s="5" t="inlineStr">
        <is>
          <t>Mobile App</t>
        </is>
      </c>
      <c r="M235" s="9">
        <f>TEXT(B235,"mmm-yyyy")</f>
        <v/>
      </c>
      <c r="N235" s="9">
        <f>DATEDIF(B235,TODAY(),"d")</f>
        <v/>
      </c>
      <c r="O235" s="10">
        <f>NOW()</f>
        <v/>
      </c>
    </row>
    <row r="236">
      <c r="A236" s="5" t="inlineStr">
        <is>
          <t>T0235</t>
        </is>
      </c>
      <c r="B236" s="6" t="n">
        <v>45834</v>
      </c>
      <c r="C236" s="5" t="inlineStr">
        <is>
          <t>C002</t>
        </is>
      </c>
      <c r="D236" s="5" t="inlineStr">
        <is>
          <t>Diya Shah</t>
        </is>
      </c>
      <c r="E236" s="5" t="inlineStr">
        <is>
          <t>East</t>
        </is>
      </c>
      <c r="F236" s="5" t="inlineStr">
        <is>
          <t>Notebook Pack</t>
        </is>
      </c>
      <c r="G236" s="5" t="inlineStr">
        <is>
          <t>Stationery</t>
        </is>
      </c>
      <c r="H236" s="5" t="n">
        <v>3</v>
      </c>
      <c r="I236" s="7" t="n">
        <v>249</v>
      </c>
      <c r="J236" s="8">
        <f>H236*I236</f>
        <v/>
      </c>
      <c r="K236" s="5" t="inlineStr">
        <is>
          <t>Net Banking</t>
        </is>
      </c>
      <c r="L236" s="5" t="inlineStr">
        <is>
          <t>Mobile App</t>
        </is>
      </c>
      <c r="M236" s="9">
        <f>TEXT(B236,"mmm-yyyy")</f>
        <v/>
      </c>
      <c r="N236" s="9">
        <f>DATEDIF(B236,TODAY(),"d")</f>
        <v/>
      </c>
      <c r="O236" s="10">
        <f>NOW()</f>
        <v/>
      </c>
    </row>
    <row r="237">
      <c r="A237" s="5" t="inlineStr">
        <is>
          <t>T0236</t>
        </is>
      </c>
      <c r="B237" s="6" t="n">
        <v>46282</v>
      </c>
      <c r="C237" s="5" t="inlineStr">
        <is>
          <t>C006</t>
        </is>
      </c>
      <c r="D237" s="5" t="inlineStr">
        <is>
          <t>Isha Trivedi</t>
        </is>
      </c>
      <c r="E237" s="5" t="inlineStr">
        <is>
          <t>South</t>
        </is>
      </c>
      <c r="F237" s="5" t="inlineStr">
        <is>
          <t>Water Bottle</t>
        </is>
      </c>
      <c r="G237" s="5" t="inlineStr">
        <is>
          <t>Lifestyle</t>
        </is>
      </c>
      <c r="H237" s="5" t="n">
        <v>2</v>
      </c>
      <c r="I237" s="7" t="n">
        <v>599</v>
      </c>
      <c r="J237" s="8">
        <f>H237*I237</f>
        <v/>
      </c>
      <c r="K237" s="5" t="inlineStr">
        <is>
          <t>Cash</t>
        </is>
      </c>
      <c r="L237" s="5" t="inlineStr">
        <is>
          <t>Store</t>
        </is>
      </c>
      <c r="M237" s="9">
        <f>TEXT(B237,"mmm-yyyy")</f>
        <v/>
      </c>
      <c r="N237" s="9">
        <f>DATEDIF(B237,TODAY(),"d")</f>
        <v/>
      </c>
      <c r="O237" s="10">
        <f>NOW()</f>
        <v/>
      </c>
    </row>
    <row r="238">
      <c r="A238" s="5" t="inlineStr">
        <is>
          <t>T0237</t>
        </is>
      </c>
      <c r="B238" s="6" t="n">
        <v>46004</v>
      </c>
      <c r="C238" s="5" t="inlineStr">
        <is>
          <t>C022</t>
        </is>
      </c>
      <c r="D238" s="5" t="inlineStr">
        <is>
          <t>Pari Patel</t>
        </is>
      </c>
      <c r="E238" s="5" t="inlineStr">
        <is>
          <t>South</t>
        </is>
      </c>
      <c r="F238" s="5" t="inlineStr">
        <is>
          <t>Headphones</t>
        </is>
      </c>
      <c r="G238" s="5" t="inlineStr">
        <is>
          <t>Electronics</t>
        </is>
      </c>
      <c r="H238" s="5" t="n">
        <v>1</v>
      </c>
      <c r="I238" s="7" t="n">
        <v>2499</v>
      </c>
      <c r="J238" s="8">
        <f>H238*I238</f>
        <v/>
      </c>
      <c r="K238" s="5" t="inlineStr">
        <is>
          <t>UPI</t>
        </is>
      </c>
      <c r="L238" s="5" t="inlineStr">
        <is>
          <t>Store</t>
        </is>
      </c>
      <c r="M238" s="9">
        <f>TEXT(B238,"mmm-yyyy")</f>
        <v/>
      </c>
      <c r="N238" s="9">
        <f>DATEDIF(B238,TODAY(),"d")</f>
        <v/>
      </c>
      <c r="O238" s="10">
        <f>NOW()</f>
        <v/>
      </c>
    </row>
    <row r="239">
      <c r="A239" s="5" t="inlineStr">
        <is>
          <t>T0238</t>
        </is>
      </c>
      <c r="B239" s="6" t="n">
        <v>45754</v>
      </c>
      <c r="C239" s="5" t="inlineStr">
        <is>
          <t>C018</t>
        </is>
      </c>
      <c r="D239" s="5" t="inlineStr">
        <is>
          <t>Navya Desai</t>
        </is>
      </c>
      <c r="E239" s="5" t="inlineStr">
        <is>
          <t>Central</t>
        </is>
      </c>
      <c r="F239" s="5" t="inlineStr">
        <is>
          <t>Backpack</t>
        </is>
      </c>
      <c r="G239" s="5" t="inlineStr">
        <is>
          <t>Lifestyle</t>
        </is>
      </c>
      <c r="H239" s="5" t="n">
        <v>1</v>
      </c>
      <c r="I239" s="7" t="n">
        <v>1499</v>
      </c>
      <c r="J239" s="8">
        <f>H239*I239</f>
        <v/>
      </c>
      <c r="K239" s="5" t="inlineStr">
        <is>
          <t>Credit Card</t>
        </is>
      </c>
      <c r="L239" s="5" t="inlineStr">
        <is>
          <t>Store</t>
        </is>
      </c>
      <c r="M239" s="9">
        <f>TEXT(B239,"mmm-yyyy")</f>
        <v/>
      </c>
      <c r="N239" s="9">
        <f>DATEDIF(B239,TODAY(),"d")</f>
        <v/>
      </c>
      <c r="O239" s="10">
        <f>NOW()</f>
        <v/>
      </c>
    </row>
    <row r="240">
      <c r="A240" s="5" t="inlineStr">
        <is>
          <t>T0239</t>
        </is>
      </c>
      <c r="B240" s="6" t="n">
        <v>45741</v>
      </c>
      <c r="C240" s="5" t="inlineStr">
        <is>
          <t>C019</t>
        </is>
      </c>
      <c r="D240" s="5" t="inlineStr">
        <is>
          <t>Dhruv Joshi</t>
        </is>
      </c>
      <c r="E240" s="5" t="inlineStr">
        <is>
          <t>South</t>
        </is>
      </c>
      <c r="F240" s="5" t="inlineStr">
        <is>
          <t>USB-C Hub</t>
        </is>
      </c>
      <c r="G240" s="5" t="inlineStr">
        <is>
          <t>Electronics</t>
        </is>
      </c>
      <c r="H240" s="5" t="n">
        <v>5</v>
      </c>
      <c r="I240" s="7" t="n">
        <v>1899</v>
      </c>
      <c r="J240" s="8">
        <f>H240*I240</f>
        <v/>
      </c>
      <c r="K240" s="5" t="inlineStr">
        <is>
          <t>Cash</t>
        </is>
      </c>
      <c r="L240" s="5" t="inlineStr">
        <is>
          <t>Online</t>
        </is>
      </c>
      <c r="M240" s="9">
        <f>TEXT(B240,"mmm-yyyy")</f>
        <v/>
      </c>
      <c r="N240" s="9">
        <f>DATEDIF(B240,TODAY(),"d")</f>
        <v/>
      </c>
      <c r="O240" s="10">
        <f>NOW()</f>
        <v/>
      </c>
    </row>
    <row r="241">
      <c r="A241" s="5" t="inlineStr">
        <is>
          <t>T0240</t>
        </is>
      </c>
      <c r="B241" s="6" t="n">
        <v>46267</v>
      </c>
      <c r="C241" s="5" t="inlineStr">
        <is>
          <t>C023</t>
        </is>
      </c>
      <c r="D241" s="5" t="inlineStr">
        <is>
          <t>Yash Mehta</t>
        </is>
      </c>
      <c r="E241" s="5" t="inlineStr">
        <is>
          <t>East</t>
        </is>
      </c>
      <c r="F241" s="5" t="inlineStr">
        <is>
          <t>Keyboard</t>
        </is>
      </c>
      <c r="G241" s="5" t="inlineStr">
        <is>
          <t>Electronics</t>
        </is>
      </c>
      <c r="H241" s="5" t="n">
        <v>1</v>
      </c>
      <c r="I241" s="7" t="n">
        <v>1299</v>
      </c>
      <c r="J241" s="8">
        <f>H241*I241</f>
        <v/>
      </c>
      <c r="K241" s="5" t="inlineStr">
        <is>
          <t>Debit Card</t>
        </is>
      </c>
      <c r="L241" s="5" t="inlineStr">
        <is>
          <t>Online</t>
        </is>
      </c>
      <c r="M241" s="9">
        <f>TEXT(B241,"mmm-yyyy")</f>
        <v/>
      </c>
      <c r="N241" s="9">
        <f>DATEDIF(B241,TODAY(),"d")</f>
        <v/>
      </c>
      <c r="O241" s="10">
        <f>NOW()</f>
        <v/>
      </c>
    </row>
    <row r="242">
      <c r="A242" s="5" t="inlineStr">
        <is>
          <t>T0241</t>
        </is>
      </c>
      <c r="B242" s="6" t="n">
        <v>46197</v>
      </c>
      <c r="C242" s="5" t="inlineStr">
        <is>
          <t>C003</t>
        </is>
      </c>
      <c r="D242" s="5" t="inlineStr">
        <is>
          <t>Vivaan Mehta</t>
        </is>
      </c>
      <c r="E242" s="5" t="inlineStr">
        <is>
          <t>West</t>
        </is>
      </c>
      <c r="F242" s="5" t="inlineStr">
        <is>
          <t>Backpack</t>
        </is>
      </c>
      <c r="G242" s="5" t="inlineStr">
        <is>
          <t>Lifestyle</t>
        </is>
      </c>
      <c r="H242" s="5" t="n">
        <v>2</v>
      </c>
      <c r="I242" s="7" t="n">
        <v>1499</v>
      </c>
      <c r="J242" s="8">
        <f>H242*I242</f>
        <v/>
      </c>
      <c r="K242" s="5" t="inlineStr">
        <is>
          <t>Debit Card</t>
        </is>
      </c>
      <c r="L242" s="5" t="inlineStr">
        <is>
          <t>Store</t>
        </is>
      </c>
      <c r="M242" s="9">
        <f>TEXT(B242,"mmm-yyyy")</f>
        <v/>
      </c>
      <c r="N242" s="9">
        <f>DATEDIF(B242,TODAY(),"d")</f>
        <v/>
      </c>
      <c r="O242" s="10">
        <f>NOW()</f>
        <v/>
      </c>
    </row>
    <row r="243">
      <c r="A243" s="5" t="inlineStr">
        <is>
          <t>T0242</t>
        </is>
      </c>
      <c r="B243" s="6" t="n">
        <v>45842</v>
      </c>
      <c r="C243" s="5" t="inlineStr">
        <is>
          <t>C007</t>
        </is>
      </c>
      <c r="D243" s="5" t="inlineStr">
        <is>
          <t>Reyansh Modi</t>
        </is>
      </c>
      <c r="E243" s="5" t="inlineStr">
        <is>
          <t>East</t>
        </is>
      </c>
      <c r="F243" s="5" t="inlineStr">
        <is>
          <t>Water Bottle</t>
        </is>
      </c>
      <c r="G243" s="5" t="inlineStr">
        <is>
          <t>Lifestyle</t>
        </is>
      </c>
      <c r="H243" s="5" t="n">
        <v>5</v>
      </c>
      <c r="I243" s="7" t="n">
        <v>599</v>
      </c>
      <c r="J243" s="8">
        <f>H243*I243</f>
        <v/>
      </c>
      <c r="K243" s="5" t="inlineStr">
        <is>
          <t>Credit Card</t>
        </is>
      </c>
      <c r="L243" s="5" t="inlineStr">
        <is>
          <t>Online</t>
        </is>
      </c>
      <c r="M243" s="9">
        <f>TEXT(B243,"mmm-yyyy")</f>
        <v/>
      </c>
      <c r="N243" s="9">
        <f>DATEDIF(B243,TODAY(),"d")</f>
        <v/>
      </c>
      <c r="O243" s="10">
        <f>NOW()</f>
        <v/>
      </c>
    </row>
    <row r="244">
      <c r="A244" s="5" t="inlineStr">
        <is>
          <t>T0243</t>
        </is>
      </c>
      <c r="B244" s="6" t="n">
        <v>45798</v>
      </c>
      <c r="C244" s="5" t="inlineStr">
        <is>
          <t>C005</t>
        </is>
      </c>
      <c r="D244" s="5" t="inlineStr">
        <is>
          <t>Arjun Joshi</t>
        </is>
      </c>
      <c r="E244" s="5" t="inlineStr">
        <is>
          <t>West</t>
        </is>
      </c>
      <c r="F244" s="5" t="inlineStr">
        <is>
          <t>Keyboard</t>
        </is>
      </c>
      <c r="G244" s="5" t="inlineStr">
        <is>
          <t>Electronics</t>
        </is>
      </c>
      <c r="H244" s="5" t="n">
        <v>1</v>
      </c>
      <c r="I244" s="7" t="n">
        <v>1299</v>
      </c>
      <c r="J244" s="8">
        <f>H244*I244</f>
        <v/>
      </c>
      <c r="K244" s="5" t="inlineStr">
        <is>
          <t>Net Banking</t>
        </is>
      </c>
      <c r="L244" s="5" t="inlineStr">
        <is>
          <t>Mobile App</t>
        </is>
      </c>
      <c r="M244" s="9">
        <f>TEXT(B244,"mmm-yyyy")</f>
        <v/>
      </c>
      <c r="N244" s="9">
        <f>DATEDIF(B244,TODAY(),"d")</f>
        <v/>
      </c>
      <c r="O244" s="10">
        <f>NOW()</f>
        <v/>
      </c>
    </row>
    <row r="245">
      <c r="A245" s="5" t="inlineStr">
        <is>
          <t>T0244</t>
        </is>
      </c>
      <c r="B245" s="6" t="n">
        <v>46197</v>
      </c>
      <c r="C245" s="5" t="inlineStr">
        <is>
          <t>C002</t>
        </is>
      </c>
      <c r="D245" s="5" t="inlineStr">
        <is>
          <t>Diya Shah</t>
        </is>
      </c>
      <c r="E245" s="5" t="inlineStr">
        <is>
          <t>Central</t>
        </is>
      </c>
      <c r="F245" s="5" t="inlineStr">
        <is>
          <t>Water Bottle</t>
        </is>
      </c>
      <c r="G245" s="5" t="inlineStr">
        <is>
          <t>Lifestyle</t>
        </is>
      </c>
      <c r="H245" s="5" t="n">
        <v>4</v>
      </c>
      <c r="I245" s="7" t="n">
        <v>599</v>
      </c>
      <c r="J245" s="8">
        <f>H245*I245</f>
        <v/>
      </c>
      <c r="K245" s="5" t="inlineStr">
        <is>
          <t>Credit Card</t>
        </is>
      </c>
      <c r="L245" s="5" t="inlineStr">
        <is>
          <t>Mobile App</t>
        </is>
      </c>
      <c r="M245" s="9">
        <f>TEXT(B245,"mmm-yyyy")</f>
        <v/>
      </c>
      <c r="N245" s="9">
        <f>DATEDIF(B245,TODAY(),"d")</f>
        <v/>
      </c>
      <c r="O245" s="10">
        <f>NOW()</f>
        <v/>
      </c>
    </row>
    <row r="246">
      <c r="A246" s="5" t="inlineStr">
        <is>
          <t>T0245</t>
        </is>
      </c>
      <c r="B246" s="6" t="n">
        <v>46043</v>
      </c>
      <c r="C246" s="5" t="inlineStr">
        <is>
          <t>C005</t>
        </is>
      </c>
      <c r="D246" s="5" t="inlineStr">
        <is>
          <t>Arjun Joshi</t>
        </is>
      </c>
      <c r="E246" s="5" t="inlineStr">
        <is>
          <t>Central</t>
        </is>
      </c>
      <c r="F246" s="5" t="inlineStr">
        <is>
          <t>USB-C Hub</t>
        </is>
      </c>
      <c r="G246" s="5" t="inlineStr">
        <is>
          <t>Electronics</t>
        </is>
      </c>
      <c r="H246" s="5" t="n">
        <v>1</v>
      </c>
      <c r="I246" s="7" t="n">
        <v>1899</v>
      </c>
      <c r="J246" s="8">
        <f>H246*I246</f>
        <v/>
      </c>
      <c r="K246" s="5" t="inlineStr">
        <is>
          <t>Credit Card</t>
        </is>
      </c>
      <c r="L246" s="5" t="inlineStr">
        <is>
          <t>Mobile App</t>
        </is>
      </c>
      <c r="M246" s="9">
        <f>TEXT(B246,"mmm-yyyy")</f>
        <v/>
      </c>
      <c r="N246" s="9">
        <f>DATEDIF(B246,TODAY(),"d")</f>
        <v/>
      </c>
      <c r="O246" s="10">
        <f>NOW()</f>
        <v/>
      </c>
    </row>
    <row r="247">
      <c r="A247" s="5" t="inlineStr">
        <is>
          <t>T0246</t>
        </is>
      </c>
      <c r="B247" s="6" t="n">
        <v>46106</v>
      </c>
      <c r="C247" s="5" t="inlineStr">
        <is>
          <t>C002</t>
        </is>
      </c>
      <c r="D247" s="5" t="inlineStr">
        <is>
          <t>Diya Shah</t>
        </is>
      </c>
      <c r="E247" s="5" t="inlineStr">
        <is>
          <t>North</t>
        </is>
      </c>
      <c r="F247" s="5" t="inlineStr">
        <is>
          <t>Backpack</t>
        </is>
      </c>
      <c r="G247" s="5" t="inlineStr">
        <is>
          <t>Lifestyle</t>
        </is>
      </c>
      <c r="H247" s="5" t="n">
        <v>2</v>
      </c>
      <c r="I247" s="7" t="n">
        <v>1499</v>
      </c>
      <c r="J247" s="8">
        <f>H247*I247</f>
        <v/>
      </c>
      <c r="K247" s="5" t="inlineStr">
        <is>
          <t>Cash</t>
        </is>
      </c>
      <c r="L247" s="5" t="inlineStr">
        <is>
          <t>Mobile App</t>
        </is>
      </c>
      <c r="M247" s="9">
        <f>TEXT(B247,"mmm-yyyy")</f>
        <v/>
      </c>
      <c r="N247" s="9">
        <f>DATEDIF(B247,TODAY(),"d")</f>
        <v/>
      </c>
      <c r="O247" s="10">
        <f>NOW()</f>
        <v/>
      </c>
    </row>
    <row r="248">
      <c r="A248" s="5" t="inlineStr">
        <is>
          <t>T0247</t>
        </is>
      </c>
      <c r="B248" s="6" t="n">
        <v>45949</v>
      </c>
      <c r="C248" s="5" t="inlineStr">
        <is>
          <t>C025</t>
        </is>
      </c>
      <c r="D248" s="5" t="inlineStr">
        <is>
          <t>Neil Trivedi</t>
        </is>
      </c>
      <c r="E248" s="5" t="inlineStr">
        <is>
          <t>North</t>
        </is>
      </c>
      <c r="F248" s="5" t="inlineStr">
        <is>
          <t>Desk Lamp</t>
        </is>
      </c>
      <c r="G248" s="5" t="inlineStr">
        <is>
          <t>Home</t>
        </is>
      </c>
      <c r="H248" s="5" t="n">
        <v>1</v>
      </c>
      <c r="I248" s="7" t="n">
        <v>1099</v>
      </c>
      <c r="J248" s="8">
        <f>H248*I248</f>
        <v/>
      </c>
      <c r="K248" s="5" t="inlineStr">
        <is>
          <t>Debit Card</t>
        </is>
      </c>
      <c r="L248" s="5" t="inlineStr">
        <is>
          <t>Store</t>
        </is>
      </c>
      <c r="M248" s="9">
        <f>TEXT(B248,"mmm-yyyy")</f>
        <v/>
      </c>
      <c r="N248" s="9">
        <f>DATEDIF(B248,TODAY(),"d")</f>
        <v/>
      </c>
      <c r="O248" s="10">
        <f>NOW()</f>
        <v/>
      </c>
    </row>
    <row r="249">
      <c r="A249" s="5" t="inlineStr">
        <is>
          <t>T0248</t>
        </is>
      </c>
      <c r="B249" s="6" t="n">
        <v>45856</v>
      </c>
      <c r="C249" s="5" t="inlineStr">
        <is>
          <t>C012</t>
        </is>
      </c>
      <c r="D249" s="5" t="inlineStr">
        <is>
          <t>Kiara Joshi</t>
        </is>
      </c>
      <c r="E249" s="5" t="inlineStr">
        <is>
          <t>East</t>
        </is>
      </c>
      <c r="F249" s="5" t="inlineStr">
        <is>
          <t>Headphones</t>
        </is>
      </c>
      <c r="G249" s="5" t="inlineStr">
        <is>
          <t>Electronics</t>
        </is>
      </c>
      <c r="H249" s="5" t="n">
        <v>6</v>
      </c>
      <c r="I249" s="7" t="n">
        <v>2499</v>
      </c>
      <c r="J249" s="8">
        <f>H249*I249</f>
        <v/>
      </c>
      <c r="K249" s="5" t="inlineStr">
        <is>
          <t>Debit Card</t>
        </is>
      </c>
      <c r="L249" s="5" t="inlineStr">
        <is>
          <t>Store</t>
        </is>
      </c>
      <c r="M249" s="9">
        <f>TEXT(B249,"mmm-yyyy")</f>
        <v/>
      </c>
      <c r="N249" s="9">
        <f>DATEDIF(B249,TODAY(),"d")</f>
        <v/>
      </c>
      <c r="O249" s="10">
        <f>NOW()</f>
        <v/>
      </c>
    </row>
    <row r="250">
      <c r="A250" s="5" t="inlineStr">
        <is>
          <t>T0249</t>
        </is>
      </c>
      <c r="B250" s="6" t="n">
        <v>46172</v>
      </c>
      <c r="C250" s="5" t="inlineStr">
        <is>
          <t>C017</t>
        </is>
      </c>
      <c r="D250" s="5" t="inlineStr">
        <is>
          <t>Kabir Mehta</t>
        </is>
      </c>
      <c r="E250" s="5" t="inlineStr">
        <is>
          <t>North</t>
        </is>
      </c>
      <c r="F250" s="5" t="inlineStr">
        <is>
          <t>Backpack</t>
        </is>
      </c>
      <c r="G250" s="5" t="inlineStr">
        <is>
          <t>Lifestyle</t>
        </is>
      </c>
      <c r="H250" s="5" t="n">
        <v>5</v>
      </c>
      <c r="I250" s="7" t="n">
        <v>1499</v>
      </c>
      <c r="J250" s="8">
        <f>H250*I250</f>
        <v/>
      </c>
      <c r="K250" s="5" t="inlineStr">
        <is>
          <t>Net Banking</t>
        </is>
      </c>
      <c r="L250" s="5" t="inlineStr">
        <is>
          <t>Online</t>
        </is>
      </c>
      <c r="M250" s="9">
        <f>TEXT(B250,"mmm-yyyy")</f>
        <v/>
      </c>
      <c r="N250" s="9">
        <f>DATEDIF(B250,TODAY(),"d")</f>
        <v/>
      </c>
      <c r="O250" s="10">
        <f>NOW()</f>
        <v/>
      </c>
    </row>
    <row r="251">
      <c r="A251" s="5" t="inlineStr">
        <is>
          <t>T0250</t>
        </is>
      </c>
      <c r="B251" s="6" t="n">
        <v>45914</v>
      </c>
      <c r="C251" s="5" t="inlineStr">
        <is>
          <t>C002</t>
        </is>
      </c>
      <c r="D251" s="5" t="inlineStr">
        <is>
          <t>Diya Shah</t>
        </is>
      </c>
      <c r="E251" s="5" t="inlineStr">
        <is>
          <t>Central</t>
        </is>
      </c>
      <c r="F251" s="5" t="inlineStr">
        <is>
          <t>Desk Lamp</t>
        </is>
      </c>
      <c r="G251" s="5" t="inlineStr">
        <is>
          <t>Home</t>
        </is>
      </c>
      <c r="H251" s="5" t="n">
        <v>4</v>
      </c>
      <c r="I251" s="7" t="n">
        <v>1099</v>
      </c>
      <c r="J251" s="8">
        <f>H251*I251</f>
        <v/>
      </c>
      <c r="K251" s="5" t="inlineStr">
        <is>
          <t>UPI</t>
        </is>
      </c>
      <c r="L251" s="5" t="inlineStr">
        <is>
          <t>Mobile App</t>
        </is>
      </c>
      <c r="M251" s="9">
        <f>TEXT(B251,"mmm-yyyy")</f>
        <v/>
      </c>
      <c r="N251" s="9">
        <f>DATEDIF(B251,TODAY(),"d")</f>
        <v/>
      </c>
      <c r="O251" s="10">
        <f>NOW()</f>
        <v/>
      </c>
    </row>
  </sheetData>
  <autoFilter ref="A1:O251"/>
  <conditionalFormatting sqref="J2:J251">
    <cfRule type="colorScale" priority="1">
      <colorScale>
        <cfvo type="min"/>
        <cfvo type="percentile" val="50"/>
        <cfvo type="max"/>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4E78"/>
    <outlinePr summaryBelow="1" summaryRight="1"/>
    <pageSetUpPr fitToPage="1"/>
  </sheetPr>
  <dimension ref="A1:H49"/>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36" customWidth="1" min="3" max="3"/>
    <col width="4" customWidth="1" min="4" max="4"/>
    <col width="25" customWidth="1" min="5" max="5"/>
    <col width="20" customWidth="1" min="6" max="6"/>
    <col width="16" customWidth="1" min="7" max="7"/>
    <col width="18" customWidth="1" min="8" max="8"/>
  </cols>
  <sheetData>
    <row r="1" ht="30" customHeight="1">
      <c r="A1" s="1" t="inlineStr">
        <is>
          <t>Transaction Analysis &amp; Formula Lab</t>
        </is>
      </c>
    </row>
    <row r="2"/>
    <row r="3">
      <c r="A3" s="11" t="inlineStr">
        <is>
          <t>Metric</t>
        </is>
      </c>
      <c r="B3" s="11" t="inlineStr">
        <is>
          <t>Result</t>
        </is>
      </c>
      <c r="C3" s="11" t="inlineStr">
        <is>
          <t>Formula / explanation</t>
        </is>
      </c>
    </row>
    <row r="4">
      <c r="A4" s="3" t="inlineStr">
        <is>
          <t>Total Revenue</t>
        </is>
      </c>
      <c r="B4" s="12">
        <f>SUM('Raw Data'!J2:J251)</f>
        <v/>
      </c>
      <c r="C4" s="3" t="inlineStr">
        <is>
          <t>SUM of transaction revenue</t>
        </is>
      </c>
    </row>
    <row r="5">
      <c r="A5" s="3" t="inlineStr">
        <is>
          <t>Total Transactions</t>
        </is>
      </c>
      <c r="B5" s="12">
        <f>COUNTA('Raw Data'!A2:A251)</f>
        <v/>
      </c>
      <c r="C5" s="3" t="inlineStr">
        <is>
          <t>Count of transaction IDs</t>
        </is>
      </c>
    </row>
    <row r="6">
      <c r="A6" s="3" t="inlineStr">
        <is>
          <t>Units Sold</t>
        </is>
      </c>
      <c r="B6" s="13">
        <f>SUM('Raw Data'!H2:H251)</f>
        <v/>
      </c>
      <c r="C6" s="3" t="inlineStr">
        <is>
          <t>SUM of quantity</t>
        </is>
      </c>
    </row>
    <row r="7">
      <c r="A7" s="3" t="inlineStr">
        <is>
          <t>Average Order Value</t>
        </is>
      </c>
      <c r="B7" s="12">
        <f>IFERROR(B4/B5,0)</f>
        <v/>
      </c>
      <c r="C7" s="3" t="inlineStr">
        <is>
          <t>Total Revenue / Total Transactions</t>
        </is>
      </c>
    </row>
    <row r="8">
      <c r="A8" s="3" t="inlineStr">
        <is>
          <t>Unique Customers</t>
        </is>
      </c>
      <c r="B8" s="13">
        <f>SUMPRODUCT(('Raw Data'!C2:C251&lt;&gt;"")/COUNTIF('Raw Data'!C2:C251,'Raw Data'!C2:C251&amp;""))</f>
        <v/>
      </c>
      <c r="C8" s="3" t="inlineStr">
        <is>
          <t>Distinct customer IDs (array-compatible formula)</t>
        </is>
      </c>
    </row>
    <row r="9">
      <c r="A9" s="3" t="inlineStr">
        <is>
          <t>Highest Transaction</t>
        </is>
      </c>
      <c r="B9" s="12">
        <f>MAX('Raw Data'!J2:J251)</f>
        <v/>
      </c>
      <c r="C9" s="3" t="inlineStr">
        <is>
          <t>MAX revenue from one transaction</t>
        </is>
      </c>
    </row>
    <row r="10">
      <c r="A10" s="3" t="inlineStr">
        <is>
          <t>Average Transaction</t>
        </is>
      </c>
      <c r="B10" s="12">
        <f>AVERAGE('Raw Data'!J2:J251)</f>
        <v/>
      </c>
      <c r="C10" s="3" t="inlineStr">
        <is>
          <t>AVERAGE transaction revenue</t>
        </is>
      </c>
    </row>
    <row r="11">
      <c r="A11" s="3" t="inlineStr">
        <is>
          <t>Current Date</t>
        </is>
      </c>
      <c r="B11" s="14">
        <f>TODAY()</f>
        <v/>
      </c>
      <c r="C11" s="3" t="inlineStr">
        <is>
          <t>TODAY date function</t>
        </is>
      </c>
    </row>
    <row r="12">
      <c r="A12" s="3" t="inlineStr">
        <is>
          <t>Current Date &amp; Time</t>
        </is>
      </c>
      <c r="B12" s="15">
        <f>NOW()</f>
        <v/>
      </c>
      <c r="C12" s="3" t="inlineStr">
        <is>
          <t>NOW date-time function</t>
        </is>
      </c>
    </row>
    <row r="13">
      <c r="A13" s="3" t="inlineStr">
        <is>
          <t>End of Current Month</t>
        </is>
      </c>
      <c r="B13" s="14">
        <f>EOMONTH(TODAY(),0)</f>
        <v/>
      </c>
      <c r="C13" s="3" t="inlineStr">
        <is>
          <t>EOMONTH current month end</t>
        </is>
      </c>
    </row>
    <row r="14">
      <c r="A14" s="3" t="inlineStr">
        <is>
          <t>Sample Tenure Days</t>
        </is>
      </c>
      <c r="B14" s="13">
        <f>DATEDIF(MIN('Raw Data'!B2:B251),TODAY(),"d")</f>
        <v/>
      </c>
      <c r="C14" s="3" t="inlineStr">
        <is>
          <t>DATEDIF from first transaction date to today</t>
        </is>
      </c>
    </row>
    <row r="15"/>
    <row r="16">
      <c r="A16" s="16" t="inlineStr">
        <is>
          <t>Revenue by Region</t>
        </is>
      </c>
      <c r="E16" s="16" t="inlineStr">
        <is>
          <t>Revenue by Product</t>
        </is>
      </c>
    </row>
    <row r="17">
      <c r="A17" s="11" t="inlineStr">
        <is>
          <t>Region</t>
        </is>
      </c>
      <c r="B17" s="11" t="inlineStr">
        <is>
          <t>Revenue</t>
        </is>
      </c>
      <c r="C17" s="11" t="inlineStr">
        <is>
          <t>Transactions</t>
        </is>
      </c>
      <c r="E17" s="11" t="inlineStr">
        <is>
          <t>Product</t>
        </is>
      </c>
      <c r="F17" s="11" t="inlineStr">
        <is>
          <t>Revenue</t>
        </is>
      </c>
      <c r="G17" s="11" t="inlineStr">
        <is>
          <t>Units Sold</t>
        </is>
      </c>
    </row>
    <row r="18">
      <c r="A18" s="3" t="inlineStr">
        <is>
          <t>West</t>
        </is>
      </c>
      <c r="B18" s="13">
        <f>SUMIF('Raw Data'!$E$2:$E$251,A18,'Raw Data'!$J$2:$J$251)</f>
        <v/>
      </c>
      <c r="C18" s="13">
        <f>COUNTIF('Raw Data'!$E$2:$E$251,A18)</f>
        <v/>
      </c>
      <c r="E18" s="3" t="inlineStr">
        <is>
          <t>Wireless Mouse</t>
        </is>
      </c>
      <c r="F18" s="13">
        <f>SUMIF('Raw Data'!$F$2:$F$251,E18,'Raw Data'!$J$2:$J$251)</f>
        <v/>
      </c>
      <c r="G18" s="13">
        <f>SUMIF('Raw Data'!$F$2:$F$251,E18,'Raw Data'!$H$2:$H$251)</f>
        <v/>
      </c>
    </row>
    <row r="19">
      <c r="A19" s="3" t="inlineStr">
        <is>
          <t>North</t>
        </is>
      </c>
      <c r="B19" s="13">
        <f>SUMIF('Raw Data'!$E$2:$E$251,A19,'Raw Data'!$J$2:$J$251)</f>
        <v/>
      </c>
      <c r="C19" s="13">
        <f>COUNTIF('Raw Data'!$E$2:$E$251,A19)</f>
        <v/>
      </c>
      <c r="E19" s="3" t="inlineStr">
        <is>
          <t>Keyboard</t>
        </is>
      </c>
      <c r="F19" s="13">
        <f>SUMIF('Raw Data'!$F$2:$F$251,E19,'Raw Data'!$J$2:$J$251)</f>
        <v/>
      </c>
      <c r="G19" s="13">
        <f>SUMIF('Raw Data'!$F$2:$F$251,E19,'Raw Data'!$H$2:$H$251)</f>
        <v/>
      </c>
    </row>
    <row r="20">
      <c r="A20" s="3" t="inlineStr">
        <is>
          <t>South</t>
        </is>
      </c>
      <c r="B20" s="13">
        <f>SUMIF('Raw Data'!$E$2:$E$251,A20,'Raw Data'!$J$2:$J$251)</f>
        <v/>
      </c>
      <c r="C20" s="13">
        <f>COUNTIF('Raw Data'!$E$2:$E$251,A20)</f>
        <v/>
      </c>
      <c r="E20" s="3" t="inlineStr">
        <is>
          <t>USB-C Hub</t>
        </is>
      </c>
      <c r="F20" s="13">
        <f>SUMIF('Raw Data'!$F$2:$F$251,E20,'Raw Data'!$J$2:$J$251)</f>
        <v/>
      </c>
      <c r="G20" s="13">
        <f>SUMIF('Raw Data'!$F$2:$F$251,E20,'Raw Data'!$H$2:$H$251)</f>
        <v/>
      </c>
    </row>
    <row r="21">
      <c r="A21" s="3" t="inlineStr">
        <is>
          <t>East</t>
        </is>
      </c>
      <c r="B21" s="13">
        <f>SUMIF('Raw Data'!$E$2:$E$251,A21,'Raw Data'!$J$2:$J$251)</f>
        <v/>
      </c>
      <c r="C21" s="13">
        <f>COUNTIF('Raw Data'!$E$2:$E$251,A21)</f>
        <v/>
      </c>
      <c r="E21" s="3" t="inlineStr">
        <is>
          <t>Notebook Pack</t>
        </is>
      </c>
      <c r="F21" s="13">
        <f>SUMIF('Raw Data'!$F$2:$F$251,E21,'Raw Data'!$J$2:$J$251)</f>
        <v/>
      </c>
      <c r="G21" s="13">
        <f>SUMIF('Raw Data'!$F$2:$F$251,E21,'Raw Data'!$H$2:$H$251)</f>
        <v/>
      </c>
    </row>
    <row r="22">
      <c r="A22" s="3" t="inlineStr">
        <is>
          <t>Central</t>
        </is>
      </c>
      <c r="B22" s="13">
        <f>SUMIF('Raw Data'!$E$2:$E$251,A22,'Raw Data'!$J$2:$J$251)</f>
        <v/>
      </c>
      <c r="C22" s="13">
        <f>COUNTIF('Raw Data'!$E$2:$E$251,A22)</f>
        <v/>
      </c>
      <c r="E22" s="3" t="inlineStr">
        <is>
          <t>Premium Pen</t>
        </is>
      </c>
      <c r="F22" s="13">
        <f>SUMIF('Raw Data'!$F$2:$F$251,E22,'Raw Data'!$J$2:$J$251)</f>
        <v/>
      </c>
      <c r="G22" s="13">
        <f>SUMIF('Raw Data'!$F$2:$F$251,E22,'Raw Data'!$H$2:$H$251)</f>
        <v/>
      </c>
    </row>
    <row r="23">
      <c r="E23" s="3" t="inlineStr">
        <is>
          <t>Water Bottle</t>
        </is>
      </c>
      <c r="F23" s="13">
        <f>SUMIF('Raw Data'!$F$2:$F$251,E23,'Raw Data'!$J$2:$J$251)</f>
        <v/>
      </c>
      <c r="G23" s="13">
        <f>SUMIF('Raw Data'!$F$2:$F$251,E23,'Raw Data'!$H$2:$H$251)</f>
        <v/>
      </c>
    </row>
    <row r="24">
      <c r="E24" s="3" t="inlineStr">
        <is>
          <t>Backpack</t>
        </is>
      </c>
      <c r="F24" s="13">
        <f>SUMIF('Raw Data'!$F$2:$F$251,E24,'Raw Data'!$J$2:$J$251)</f>
        <v/>
      </c>
      <c r="G24" s="13">
        <f>SUMIF('Raw Data'!$F$2:$F$251,E24,'Raw Data'!$H$2:$H$251)</f>
        <v/>
      </c>
    </row>
    <row r="25">
      <c r="E25" s="3" t="inlineStr">
        <is>
          <t>Desk Lamp</t>
        </is>
      </c>
      <c r="F25" s="13">
        <f>SUMIF('Raw Data'!$F$2:$F$251,E25,'Raw Data'!$J$2:$J$251)</f>
        <v/>
      </c>
      <c r="G25" s="13">
        <f>SUMIF('Raw Data'!$F$2:$F$251,E25,'Raw Data'!$H$2:$H$251)</f>
        <v/>
      </c>
    </row>
    <row r="26">
      <c r="A26" s="16" t="inlineStr">
        <is>
          <t>Monthly Revenue Trend</t>
        </is>
      </c>
      <c r="E26" s="3" t="inlineStr">
        <is>
          <t>Coffee Mug</t>
        </is>
      </c>
      <c r="F26" s="13">
        <f>SUMIF('Raw Data'!$F$2:$F$251,E26,'Raw Data'!$J$2:$J$251)</f>
        <v/>
      </c>
      <c r="G26" s="13">
        <f>SUMIF('Raw Data'!$F$2:$F$251,E26,'Raw Data'!$H$2:$H$251)</f>
        <v/>
      </c>
    </row>
    <row r="27">
      <c r="A27" s="11" t="inlineStr">
        <is>
          <t>Month</t>
        </is>
      </c>
      <c r="B27" s="11" t="inlineStr">
        <is>
          <t>Revenue</t>
        </is>
      </c>
      <c r="E27" s="3" t="inlineStr">
        <is>
          <t>Headphones</t>
        </is>
      </c>
      <c r="F27" s="13">
        <f>SUMIF('Raw Data'!$F$2:$F$251,E27,'Raw Data'!$J$2:$J$251)</f>
        <v/>
      </c>
      <c r="G27" s="13">
        <f>SUMIF('Raw Data'!$F$2:$F$251,E27,'Raw Data'!$H$2:$H$251)</f>
        <v/>
      </c>
    </row>
    <row r="28">
      <c r="A28" s="17" t="n">
        <v>45658</v>
      </c>
      <c r="B28" s="13">
        <f>SUMIFS('Raw Data'!$J$2:$J$251,'Raw Data'!$B$2:$B$251,"&gt;="&amp;A28,'Raw Data'!$B$2:$B$251,"&lt;"&amp;EOMONTH(A28,0)+1)</f>
        <v/>
      </c>
    </row>
    <row r="29">
      <c r="A29" s="17" t="n">
        <v>45689</v>
      </c>
      <c r="B29" s="13">
        <f>SUMIFS('Raw Data'!$J$2:$J$251,'Raw Data'!$B$2:$B$251,"&gt;="&amp;A29,'Raw Data'!$B$2:$B$251,"&lt;"&amp;EOMONTH(A29,0)+1)</f>
        <v/>
      </c>
    </row>
    <row r="30">
      <c r="A30" s="17" t="n">
        <v>45717</v>
      </c>
      <c r="B30" s="13">
        <f>SUMIFS('Raw Data'!$J$2:$J$251,'Raw Data'!$B$2:$B$251,"&gt;="&amp;A30,'Raw Data'!$B$2:$B$251,"&lt;"&amp;EOMONTH(A30,0)+1)</f>
        <v/>
      </c>
      <c r="E30" s="2" t="inlineStr">
        <is>
          <t>FILTER example</t>
        </is>
      </c>
    </row>
    <row r="31">
      <c r="A31" s="17" t="n">
        <v>45748</v>
      </c>
      <c r="B31" s="13">
        <f>SUMIFS('Raw Data'!$J$2:$J$251,'Raw Data'!$B$2:$B$251,"&gt;="&amp;A31,'Raw Data'!$B$2:$B$251,"&lt;"&amp;EOMONTH(A31,0)+1)</f>
        <v/>
      </c>
      <c r="E31" s="3" t="inlineStr">
        <is>
          <t>High-value transactions (Revenue ≥ ₹2,000)</t>
        </is>
      </c>
    </row>
    <row r="32">
      <c r="A32" s="17" t="n">
        <v>45778</v>
      </c>
      <c r="B32" s="13">
        <f>SUMIFS('Raw Data'!$J$2:$J$251,'Raw Data'!$B$2:$B$251,"&gt;="&amp;A32,'Raw Data'!$B$2:$B$251,"&lt;"&amp;EOMONTH(A32,0)+1)</f>
        <v/>
      </c>
      <c r="E32" s="13">
        <f>FILTER('Raw Data'!A2:J251,'Raw Data'!J2:J251&gt;=2000,"No matching transactions")</f>
        <v/>
      </c>
    </row>
    <row r="33">
      <c r="A33" s="17" t="n">
        <v>45809</v>
      </c>
      <c r="B33" s="13">
        <f>SUMIFS('Raw Data'!$J$2:$J$251,'Raw Data'!$B$2:$B$251,"&gt;="&amp;A33,'Raw Data'!$B$2:$B$251,"&lt;"&amp;EOMONTH(A33,0)+1)</f>
        <v/>
      </c>
    </row>
    <row r="34">
      <c r="A34" s="17" t="n">
        <v>45839</v>
      </c>
      <c r="B34" s="13">
        <f>SUMIFS('Raw Data'!$J$2:$J$251,'Raw Data'!$B$2:$B$251,"&gt;="&amp;A34,'Raw Data'!$B$2:$B$251,"&lt;"&amp;EOMONTH(A34,0)+1)</f>
        <v/>
      </c>
      <c r="E34" s="3" t="inlineStr">
        <is>
          <t>Compatibility</t>
        </is>
      </c>
      <c r="F34" s="3" t="inlineStr">
        <is>
          <t>If FILTER is unavailable, apply the Revenue filter on Raw Data and select values ≥ 2000.</t>
        </is>
      </c>
    </row>
    <row r="35">
      <c r="A35" s="17" t="n">
        <v>45870</v>
      </c>
      <c r="B35" s="13">
        <f>SUMIFS('Raw Data'!$J$2:$J$251,'Raw Data'!$B$2:$B$251,"&gt;="&amp;A35,'Raw Data'!$B$2:$B$251,"&lt;"&amp;EOMONTH(A35,0)+1)</f>
        <v/>
      </c>
    </row>
    <row r="36">
      <c r="A36" s="17" t="n">
        <v>45901</v>
      </c>
      <c r="B36" s="13">
        <f>SUMIFS('Raw Data'!$J$2:$J$251,'Raw Data'!$B$2:$B$251,"&gt;="&amp;A36,'Raw Data'!$B$2:$B$251,"&lt;"&amp;EOMONTH(A36,0)+1)</f>
        <v/>
      </c>
    </row>
    <row r="37">
      <c r="A37" s="17" t="n">
        <v>45931</v>
      </c>
      <c r="B37" s="13">
        <f>SUMIFS('Raw Data'!$J$2:$J$251,'Raw Data'!$B$2:$B$251,"&gt;="&amp;A37,'Raw Data'!$B$2:$B$251,"&lt;"&amp;EOMONTH(A37,0)+1)</f>
        <v/>
      </c>
    </row>
    <row r="38">
      <c r="A38" s="17" t="n">
        <v>45962</v>
      </c>
      <c r="B38" s="13">
        <f>SUMIFS('Raw Data'!$J$2:$J$251,'Raw Data'!$B$2:$B$251,"&gt;="&amp;A38,'Raw Data'!$B$2:$B$251,"&lt;"&amp;EOMONTH(A38,0)+1)</f>
        <v/>
      </c>
    </row>
    <row r="39">
      <c r="A39" s="17" t="n">
        <v>45992</v>
      </c>
      <c r="B39" s="13">
        <f>SUMIFS('Raw Data'!$J$2:$J$251,'Raw Data'!$B$2:$B$251,"&gt;="&amp;A39,'Raw Data'!$B$2:$B$251,"&lt;"&amp;EOMONTH(A39,0)+1)</f>
        <v/>
      </c>
    </row>
    <row r="40">
      <c r="A40" s="17" t="n">
        <v>46023</v>
      </c>
      <c r="B40" s="13">
        <f>SUMIFS('Raw Data'!$J$2:$J$251,'Raw Data'!$B$2:$B$251,"&gt;="&amp;A40,'Raw Data'!$B$2:$B$251,"&lt;"&amp;EOMONTH(A40,0)+1)</f>
        <v/>
      </c>
    </row>
    <row r="41">
      <c r="A41" s="17" t="n">
        <v>46054</v>
      </c>
      <c r="B41" s="13">
        <f>SUMIFS('Raw Data'!$J$2:$J$251,'Raw Data'!$B$2:$B$251,"&gt;="&amp;A41,'Raw Data'!$B$2:$B$251,"&lt;"&amp;EOMONTH(A41,0)+1)</f>
        <v/>
      </c>
    </row>
    <row r="42">
      <c r="A42" s="17" t="n">
        <v>46082</v>
      </c>
      <c r="B42" s="13">
        <f>SUMIFS('Raw Data'!$J$2:$J$251,'Raw Data'!$B$2:$B$251,"&gt;="&amp;A42,'Raw Data'!$B$2:$B$251,"&lt;"&amp;EOMONTH(A42,0)+1)</f>
        <v/>
      </c>
    </row>
    <row r="43">
      <c r="A43" s="17" t="n">
        <v>46113</v>
      </c>
      <c r="B43" s="13">
        <f>SUMIFS('Raw Data'!$J$2:$J$251,'Raw Data'!$B$2:$B$251,"&gt;="&amp;A43,'Raw Data'!$B$2:$B$251,"&lt;"&amp;EOMONTH(A43,0)+1)</f>
        <v/>
      </c>
    </row>
    <row r="44">
      <c r="A44" s="17" t="n">
        <v>46143</v>
      </c>
      <c r="B44" s="13">
        <f>SUMIFS('Raw Data'!$J$2:$J$251,'Raw Data'!$B$2:$B$251,"&gt;="&amp;A44,'Raw Data'!$B$2:$B$251,"&lt;"&amp;EOMONTH(A44,0)+1)</f>
        <v/>
      </c>
    </row>
    <row r="45">
      <c r="A45" s="17" t="n">
        <v>46174</v>
      </c>
      <c r="B45" s="13">
        <f>SUMIFS('Raw Data'!$J$2:$J$251,'Raw Data'!$B$2:$B$251,"&gt;="&amp;A45,'Raw Data'!$B$2:$B$251,"&lt;"&amp;EOMONTH(A45,0)+1)</f>
        <v/>
      </c>
    </row>
    <row r="46">
      <c r="A46" s="17" t="n">
        <v>46204</v>
      </c>
      <c r="B46" s="13">
        <f>SUMIFS('Raw Data'!$J$2:$J$251,'Raw Data'!$B$2:$B$251,"&gt;="&amp;A46,'Raw Data'!$B$2:$B$251,"&lt;"&amp;EOMONTH(A46,0)+1)</f>
        <v/>
      </c>
    </row>
    <row r="47">
      <c r="A47" s="17" t="n">
        <v>46235</v>
      </c>
      <c r="B47" s="13">
        <f>SUMIFS('Raw Data'!$J$2:$J$251,'Raw Data'!$B$2:$B$251,"&gt;="&amp;A47,'Raw Data'!$B$2:$B$251,"&lt;"&amp;EOMONTH(A47,0)+1)</f>
        <v/>
      </c>
    </row>
    <row r="48">
      <c r="A48" s="17" t="n">
        <v>46266</v>
      </c>
      <c r="B48" s="13">
        <f>SUMIFS('Raw Data'!$J$2:$J$251,'Raw Data'!$B$2:$B$251,"&gt;="&amp;A48,'Raw Data'!$B$2:$B$251,"&lt;"&amp;EOMONTH(A48,0)+1)</f>
        <v/>
      </c>
    </row>
    <row r="49">
      <c r="A49" s="17" t="n">
        <v>46296</v>
      </c>
      <c r="B49" s="13">
        <f>SUMIFS('Raw Data'!$J$2:$J$251,'Raw Data'!$B$2:$B$251,"&gt;="&amp;A49,'Raw Data'!$B$2:$B$251,"&lt;"&amp;EOMONTH(A49,0)+1)</f>
        <v/>
      </c>
    </row>
  </sheetData>
  <mergeCells count="2">
    <mergeCell ref="F34:H35"/>
    <mergeCell ref="A1:H1"/>
  </mergeCells>
  <conditionalFormatting sqref="B18:B22">
    <cfRule type="colorScale" priority="1">
      <colorScale>
        <cfvo type="min"/>
        <cfvo type="max"/>
        <color rgb="00F8696B"/>
        <color rgb="0063BE7B"/>
      </colorScale>
    </cfRule>
  </conditionalFormatting>
  <pageMargins left="0.75" right="0.75" top="1" bottom="1" header="0.5" footer="0.5"/>
</worksheet>
</file>

<file path=xl/worksheets/sheet4.xml><?xml version="1.0" encoding="utf-8"?>
<worksheet xmlns="http://schemas.openxmlformats.org/spreadsheetml/2006/main">
  <sheetPr>
    <tabColor rgb="001F4E78"/>
    <outlinePr summaryBelow="1" summaryRight="1"/>
    <pageSetUpPr fitToPage="1"/>
  </sheetPr>
  <dimension ref="A1:N1"/>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1" t="inlineStr">
        <is>
          <t>Visualizations — Regional, Product &amp; Monthly Performance</t>
        </is>
      </c>
    </row>
  </sheetData>
  <mergeCells count="1">
    <mergeCell ref="A1:N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fitToPage="1"/>
  </sheetPr>
  <dimension ref="A1:N9"/>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1" t="inlineStr">
        <is>
          <t>DATA INTELLIGENCE DASHBOARD</t>
        </is>
      </c>
    </row>
    <row r="2">
      <c r="A2" s="18" t="inlineStr">
        <is>
          <t>Customer Transaction Analysis | Sample dataset: 250 transactions</t>
        </is>
      </c>
    </row>
    <row r="3"/>
    <row r="4" ht="28" customHeight="1">
      <c r="A4" s="19" t="inlineStr">
        <is>
          <t>Total Revenue</t>
        </is>
      </c>
      <c r="C4" s="19" t="inlineStr">
        <is>
          <t>Transactions</t>
        </is>
      </c>
      <c r="E4" s="19" t="inlineStr">
        <is>
          <t>Units Sold</t>
        </is>
      </c>
      <c r="G4" s="19" t="inlineStr">
        <is>
          <t>Average Order Value</t>
        </is>
      </c>
      <c r="I4" s="19" t="inlineStr">
        <is>
          <t>Unique Customers</t>
        </is>
      </c>
      <c r="K4" s="19" t="inlineStr">
        <is>
          <t>Highest Transaction</t>
        </is>
      </c>
    </row>
    <row r="5" ht="32" customHeight="1">
      <c r="A5" s="20">
        <f>Analysis!B4</f>
        <v/>
      </c>
      <c r="C5" s="20">
        <f>Analysis!B5</f>
        <v/>
      </c>
      <c r="E5" s="20">
        <f>Analysis!B6</f>
        <v/>
      </c>
      <c r="G5" s="20">
        <f>Analysis!B7</f>
        <v/>
      </c>
      <c r="I5" s="20">
        <f>Analysis!B8</f>
        <v/>
      </c>
      <c r="K5" s="20">
        <f>Analysis!B9</f>
        <v/>
      </c>
    </row>
    <row r="6"/>
    <row r="7">
      <c r="A7" s="16" t="inlineStr">
        <is>
          <t>Dashboard guide</t>
        </is>
      </c>
    </row>
    <row r="8">
      <c r="A8" s="3" t="inlineStr">
        <is>
          <t>Use the charts below to compare regional revenue, product contribution and monthly trend. Change source values on Raw Data to refresh formula-driven metrics.</t>
        </is>
      </c>
    </row>
    <row r="9"/>
  </sheetData>
  <mergeCells count="15">
    <mergeCell ref="A4:B4"/>
    <mergeCell ref="A1:N1"/>
    <mergeCell ref="E4:F4"/>
    <mergeCell ref="G4:H4"/>
    <mergeCell ref="I4:J4"/>
    <mergeCell ref="A8:N9"/>
    <mergeCell ref="A2:N2"/>
    <mergeCell ref="C5:D5"/>
    <mergeCell ref="A5:B5"/>
    <mergeCell ref="G5:H5"/>
    <mergeCell ref="E5:F5"/>
    <mergeCell ref="K5:L5"/>
    <mergeCell ref="I5:J5"/>
    <mergeCell ref="K4:L4"/>
    <mergeCell ref="C4:D4"/>
  </mergeCells>
  <conditionalFormatting sqref="A5:B5">
    <cfRule type="iconSet" priority="1">
      <iconSet iconSet="3TrafficLights1" showValue="1">
        <cfvo type="num" val="0"/>
        <cfvo type="num" val="1"/>
        <cfvo type="num" val="2"/>
      </iconSet>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fitToPage="1"/>
  </sheetPr>
  <dimension ref="A1:F28"/>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Final Report — Insights &amp; Business Storytelling</t>
        </is>
      </c>
    </row>
    <row r="2"/>
    <row r="3">
      <c r="A3" s="21" t="inlineStr">
        <is>
          <t>Executive Summary</t>
        </is>
      </c>
    </row>
    <row r="4">
      <c r="A4" s="3" t="inlineStr">
        <is>
          <t>This workbook analyzes 250 sample customer transactions across five regions and ten products. The dashboard summarizes revenue, transaction volume, units sold, average order value and customer reach. Replace the sample data with the instructor-provided dataset before submitting if one is available.</t>
        </is>
      </c>
    </row>
    <row r="5"/>
    <row r="6"/>
    <row r="7"/>
    <row r="8">
      <c r="A8" s="21" t="inlineStr">
        <is>
          <t>Key questions answered</t>
        </is>
      </c>
    </row>
    <row r="9" ht="27" customHeight="1">
      <c r="A9" s="3" t="inlineStr">
        <is>
          <t>1. Which region contributes the most revenue? See Analysis regional summary and Dashboard bar chart.</t>
        </is>
      </c>
    </row>
    <row r="10" ht="27" customHeight="1">
      <c r="A10" s="3" t="inlineStr">
        <is>
          <t>2. Which products contribute the most revenue and volume? See Analysis product summary and product-share pie chart.</t>
        </is>
      </c>
    </row>
    <row r="11" ht="27" customHeight="1">
      <c r="A11" s="3" t="inlineStr">
        <is>
          <t>3. How does revenue change over time? See monthly revenue table and line chart.</t>
        </is>
      </c>
    </row>
    <row r="12" ht="27" customHeight="1">
      <c r="A12" s="3" t="inlineStr">
        <is>
          <t>4. Which customers and transactions may be high value? Filter Raw Data by revenue and use the FILTER example on Analysis.</t>
        </is>
      </c>
    </row>
    <row r="13" ht="27" customHeight="1">
      <c r="A13" s="3" t="inlineStr">
        <is>
          <t>5. What happens if revenue grows by a chosen percentage? Edit the growth assumption on What-If Analysis.</t>
        </is>
      </c>
    </row>
    <row r="14" ht="27" customHeight="1">
      <c r="A14" s="3" t="inlineStr">
        <is>
          <t>6. Is quantity associated with revenue? Review slope, intercept and R-squared on Regression.</t>
        </is>
      </c>
    </row>
    <row r="15"/>
    <row r="16"/>
    <row r="17">
      <c r="A17" s="21" t="inlineStr">
        <is>
          <t>Recommendations</t>
        </is>
      </c>
    </row>
    <row r="18" ht="28" customHeight="1">
      <c r="A18" s="3" t="inlineStr">
        <is>
          <t>• Prioritize inventory and campaigns for products with high revenue and consistent purchase volume.</t>
        </is>
      </c>
    </row>
    <row r="19" ht="28" customHeight="1">
      <c r="A19" s="3" t="inlineStr">
        <is>
          <t>• Compare regional performance before allocating local promotions or sales resources.</t>
        </is>
      </c>
    </row>
    <row r="20" ht="28" customHeight="1">
      <c r="A20" s="3" t="inlineStr">
        <is>
          <t>• Monitor monthly trends to distinguish seasonal peaks from sustained growth.</t>
        </is>
      </c>
    </row>
    <row r="21" ht="28" customHeight="1">
      <c r="A21" s="3" t="inlineStr">
        <is>
          <t>• Use customer-level analysis to identify repeat buyers and design loyalty offers.</t>
        </is>
      </c>
    </row>
    <row r="22" ht="28" customHeight="1">
      <c r="A22" s="3" t="inlineStr">
        <is>
          <t>• Validate all findings against the official dataset; this workbook contains generated sample data.</t>
        </is>
      </c>
    </row>
    <row r="23"/>
    <row r="24"/>
    <row r="25">
      <c r="A25" s="21" t="inlineStr">
        <is>
          <t>Limitations</t>
        </is>
      </c>
    </row>
    <row r="26">
      <c r="A26" s="3" t="inlineStr">
        <is>
          <t>Sample data is synthetic. NOW() and TODAY() are volatile formulas and update when Excel recalculates. The workbook uses formula-based summaries; native PivotTables, Slicers and Timelines should be added in desktop Excel if explicitly required.</t>
        </is>
      </c>
    </row>
    <row r="27"/>
    <row r="28"/>
  </sheetData>
  <mergeCells count="14">
    <mergeCell ref="A11:F11"/>
    <mergeCell ref="A10:F10"/>
    <mergeCell ref="A13:F13"/>
    <mergeCell ref="A14:F14"/>
    <mergeCell ref="A19:F19"/>
    <mergeCell ref="A1:F1"/>
    <mergeCell ref="A4:F6"/>
    <mergeCell ref="A9:F9"/>
    <mergeCell ref="A26:F28"/>
    <mergeCell ref="A22:F22"/>
    <mergeCell ref="A12:F12"/>
    <mergeCell ref="A18:F18"/>
    <mergeCell ref="A20:F20"/>
    <mergeCell ref="A21:F21"/>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fitToPage="1"/>
  </sheetPr>
  <dimension ref="A1:F17"/>
  <sheetViews>
    <sheetView showGridLines="0" workbookViewId="0">
      <selection activeCell="A1" sqref="A1"/>
    </sheetView>
  </sheetViews>
  <sheetFormatPr baseColWidth="8" defaultRowHeight="15"/>
  <cols>
    <col width="28" customWidth="1" min="1" max="1"/>
    <col width="20" customWidth="1" min="2" max="2"/>
    <col width="44" customWidth="1" min="3" max="3"/>
    <col width="14" customWidth="1" min="4" max="4"/>
    <col width="14" customWidth="1" min="5" max="5"/>
    <col width="14" customWidth="1" min="6" max="6"/>
  </cols>
  <sheetData>
    <row r="1" ht="30" customHeight="1">
      <c r="A1" s="1" t="inlineStr">
        <is>
          <t>What-If Analysis — Scenario Manager &amp; Goal Seek</t>
        </is>
      </c>
    </row>
    <row r="2">
      <c r="A2" s="3" t="inlineStr"/>
    </row>
    <row r="3">
      <c r="A3" s="11" t="inlineStr">
        <is>
          <t>Input</t>
        </is>
      </c>
      <c r="B3" s="11" t="inlineStr">
        <is>
          <t>Value</t>
        </is>
      </c>
      <c r="C3" s="11" t="inlineStr">
        <is>
          <t>Notes</t>
        </is>
      </c>
    </row>
    <row r="4">
      <c r="A4" s="3" t="inlineStr">
        <is>
          <t>Current Revenue</t>
        </is>
      </c>
      <c r="B4" s="12">
        <f>Analysis!B4</f>
        <v/>
      </c>
      <c r="C4" s="3" t="inlineStr">
        <is>
          <t>Linked to total revenue</t>
        </is>
      </c>
    </row>
    <row r="5">
      <c r="A5" s="3" t="inlineStr">
        <is>
          <t>Expected Growth %</t>
        </is>
      </c>
      <c r="B5" s="22" t="n">
        <v>0.1</v>
      </c>
      <c r="C5" s="3" t="inlineStr">
        <is>
          <t>Edit growth assumption</t>
        </is>
      </c>
    </row>
    <row r="6">
      <c r="A6" s="3" t="inlineStr">
        <is>
          <t>Projected Revenue</t>
        </is>
      </c>
      <c r="B6" s="12">
        <f>B4*(1+B5)</f>
        <v/>
      </c>
      <c r="C6" s="3" t="inlineStr">
        <is>
          <t>Scenario result</t>
        </is>
      </c>
    </row>
    <row r="7">
      <c r="A7" s="3" t="inlineStr">
        <is>
          <t>Target Revenue</t>
        </is>
      </c>
      <c r="B7" s="12">
        <f>B4*1.20</f>
        <v/>
      </c>
      <c r="C7" s="3" t="inlineStr">
        <is>
          <t>Example goal: 20% increase</t>
        </is>
      </c>
    </row>
    <row r="8">
      <c r="A8" s="3" t="inlineStr">
        <is>
          <t>Required Growth %</t>
        </is>
      </c>
      <c r="B8" s="23">
        <f>IFERROR(B7/B4-1,0)</f>
        <v/>
      </c>
      <c r="C8" s="3" t="inlineStr">
        <is>
          <t>Use Goal Seek to set B6 to B7 by changing B5</t>
        </is>
      </c>
    </row>
    <row r="9"/>
    <row r="10"/>
    <row r="11">
      <c r="A11" s="16" t="inlineStr">
        <is>
          <t>Goal Seek instructions</t>
        </is>
      </c>
    </row>
    <row r="12">
      <c r="A12" s="3" t="inlineStr">
        <is>
          <t>Data &gt; What-If Analysis &gt; Goal Seek: Set cell B6 to the target value in B7 by changing cell B5.</t>
        </is>
      </c>
    </row>
    <row r="13"/>
    <row r="14"/>
    <row r="15">
      <c r="A15" s="16" t="inlineStr">
        <is>
          <t>Scenario Manager suggestion</t>
        </is>
      </c>
    </row>
    <row r="16">
      <c r="A16" s="3" t="inlineStr">
        <is>
          <t>Create Low / Base / High scenarios by changing B5 to 5%, 10%, and 15%, then compare B6.</t>
        </is>
      </c>
    </row>
    <row r="17"/>
  </sheetData>
  <mergeCells count="3">
    <mergeCell ref="A12:F13"/>
    <mergeCell ref="A16:F17"/>
    <mergeCell ref="A1:F1"/>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fitToPage="1"/>
  </sheetPr>
  <dimension ref="A1:F16"/>
  <sheetViews>
    <sheetView showGridLines="0" workbookViewId="0">
      <selection activeCell="A1" sqref="A1"/>
    </sheetView>
  </sheetViews>
  <sheetFormatPr baseColWidth="8" defaultRowHeight="15"/>
  <cols>
    <col width="24" customWidth="1" min="1" max="1"/>
    <col width="22" customWidth="1" min="2" max="2"/>
    <col width="70" customWidth="1" min="3" max="3"/>
    <col width="14" customWidth="1" min="4" max="4"/>
    <col width="14" customWidth="1" min="5" max="5"/>
    <col width="14" customWidth="1" min="6" max="6"/>
  </cols>
  <sheetData>
    <row r="1" ht="30" customHeight="1">
      <c r="A1" s="1" t="inlineStr">
        <is>
          <t>Linear Regression — Quantity vs Revenue</t>
        </is>
      </c>
    </row>
    <row r="2"/>
    <row r="3">
      <c r="A3" s="11" t="inlineStr">
        <is>
          <t>Model</t>
        </is>
      </c>
      <c r="B3" s="11" t="inlineStr">
        <is>
          <t>Value</t>
        </is>
      </c>
      <c r="C3" s="11" t="inlineStr">
        <is>
          <t>Interpretation</t>
        </is>
      </c>
    </row>
    <row r="4">
      <c r="A4" s="3" t="inlineStr">
        <is>
          <t>Slope</t>
        </is>
      </c>
      <c r="B4" s="13">
        <f>SLOPE('Raw Data'!J2:J251,'Raw Data'!H2:H251)</f>
        <v/>
      </c>
      <c r="C4" s="3" t="inlineStr">
        <is>
          <t>Estimated revenue change per additional unit (linear fit)</t>
        </is>
      </c>
    </row>
    <row r="5">
      <c r="A5" s="3" t="inlineStr">
        <is>
          <t>Intercept</t>
        </is>
      </c>
      <c r="B5" s="13">
        <f>INTERCEPT('Raw Data'!J2:J251,'Raw Data'!H2:H251)</f>
        <v/>
      </c>
      <c r="C5" s="3" t="inlineStr">
        <is>
          <t>Estimated baseline in the fitted model</t>
        </is>
      </c>
    </row>
    <row r="6">
      <c r="A6" s="3" t="inlineStr">
        <is>
          <t>R-squared</t>
        </is>
      </c>
      <c r="B6" s="23">
        <f>RSQ('Raw Data'!J2:J251,'Raw Data'!H2:H251)</f>
        <v/>
      </c>
      <c r="C6" s="3" t="inlineStr">
        <is>
          <t>Share of revenue variation explained by quantity in this simple model</t>
        </is>
      </c>
    </row>
    <row r="7"/>
    <row r="8"/>
    <row r="9">
      <c r="A9" s="16" t="inlineStr">
        <is>
          <t>Data Analysis ToolPak</t>
        </is>
      </c>
    </row>
    <row r="10">
      <c r="A10" s="3" t="inlineStr">
        <is>
          <t>In Excel: File &gt; Options &gt; Add-ins &gt; Excel Add-ins &gt; Go &gt; check Analysis ToolPak. Then Data &gt; Data Analysis &gt; Regression. Y Range = J1:J251; X Range = H1:H251 (select Labels if headers included).</t>
        </is>
      </c>
    </row>
    <row r="11"/>
    <row r="12"/>
    <row r="13"/>
    <row r="14">
      <c r="A14" s="24" t="inlineStr">
        <is>
          <t>Caution</t>
        </is>
      </c>
    </row>
    <row r="15">
      <c r="A15" s="3" t="inlineStr">
        <is>
          <t>This is a simple illustrative model. Revenue also depends on product price and category, so do not interpret the relationship as causal.</t>
        </is>
      </c>
    </row>
    <row r="16"/>
  </sheetData>
  <mergeCells count="3">
    <mergeCell ref="A10:F12"/>
    <mergeCell ref="A1:F1"/>
    <mergeCell ref="A15:F16"/>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fitToPage="1"/>
  </sheetPr>
  <dimension ref="A1:F37"/>
  <sheetViews>
    <sheetView showGridLines="0" workbookViewId="0">
      <pane ySplit="3" topLeftCell="A4" activePane="bottomLeft" state="frozen"/>
      <selection pane="bottomLeft" activeCell="A1" sqref="A1"/>
    </sheetView>
  </sheetViews>
  <sheetFormatPr baseColWidth="8" defaultRowHeight="15"/>
  <cols>
    <col width="30" customWidth="1" min="1" max="1"/>
    <col width="28" customWidth="1" min="2" max="2"/>
    <col width="25" customWidth="1" min="3" max="3"/>
    <col width="4" customWidth="1" min="4" max="4"/>
    <col width="28" customWidth="1" min="5" max="5"/>
    <col width="25" customWidth="1" min="6" max="6"/>
  </cols>
  <sheetData>
    <row r="1" ht="30" customHeight="1">
      <c r="A1" s="1" t="inlineStr">
        <is>
          <t>Repeated Values, List Matching &amp; Text Abbreviations</t>
        </is>
      </c>
    </row>
    <row r="2"/>
    <row r="3">
      <c r="A3" s="11" t="inlineStr">
        <is>
          <t>Product</t>
        </is>
      </c>
      <c r="B3" s="11" t="inlineStr">
        <is>
          <t>Purchase Count</t>
        </is>
      </c>
      <c r="C3" s="11" t="inlineStr">
        <is>
          <t>Most Purchased?</t>
        </is>
      </c>
      <c r="E3" s="11" t="inlineStr">
        <is>
          <t>Customer Name</t>
        </is>
      </c>
      <c r="F3" s="11" t="inlineStr">
        <is>
          <t>Abbreviation</t>
        </is>
      </c>
    </row>
    <row r="4">
      <c r="A4" s="3" t="inlineStr">
        <is>
          <t>Wireless Mouse</t>
        </is>
      </c>
      <c r="B4" s="13">
        <f>COUNTIF('Raw Data'!$F$2:$F$251,A4)</f>
        <v/>
      </c>
      <c r="C4" s="13">
        <f>IF(B4=MAX($B$4:$B$13),"TOP PRODUCT","")</f>
        <v/>
      </c>
      <c r="E4" s="3" t="inlineStr">
        <is>
          <t>Aarav Patel</t>
        </is>
      </c>
      <c r="F4" s="13">
        <f>LEFT(E4,1)&amp;"."&amp;MID(E4,FIND(" ",E4)+1,1)&amp;"."</f>
        <v/>
      </c>
    </row>
    <row r="5">
      <c r="A5" s="3" t="inlineStr">
        <is>
          <t>Keyboard</t>
        </is>
      </c>
      <c r="B5" s="13">
        <f>COUNTIF('Raw Data'!$F$2:$F$251,A5)</f>
        <v/>
      </c>
      <c r="C5" s="13">
        <f>IF(B5=MAX($B$4:$B$13),"TOP PRODUCT","")</f>
        <v/>
      </c>
      <c r="E5" s="3" t="inlineStr">
        <is>
          <t>Diya Shah</t>
        </is>
      </c>
      <c r="F5" s="13">
        <f>LEFT(E5,1)&amp;"."&amp;MID(E5,FIND(" ",E5)+1,1)&amp;"."</f>
        <v/>
      </c>
    </row>
    <row r="6">
      <c r="A6" s="3" t="inlineStr">
        <is>
          <t>USB-C Hub</t>
        </is>
      </c>
      <c r="B6" s="13">
        <f>COUNTIF('Raw Data'!$F$2:$F$251,A6)</f>
        <v/>
      </c>
      <c r="C6" s="13">
        <f>IF(B6=MAX($B$4:$B$13),"TOP PRODUCT","")</f>
        <v/>
      </c>
      <c r="E6" s="3" t="inlineStr">
        <is>
          <t>Vivaan Mehta</t>
        </is>
      </c>
      <c r="F6" s="13">
        <f>LEFT(E6,1)&amp;"."&amp;MID(E6,FIND(" ",E6)+1,1)&amp;"."</f>
        <v/>
      </c>
    </row>
    <row r="7">
      <c r="A7" s="3" t="inlineStr">
        <is>
          <t>Notebook Pack</t>
        </is>
      </c>
      <c r="B7" s="13">
        <f>COUNTIF('Raw Data'!$F$2:$F$251,A7)</f>
        <v/>
      </c>
      <c r="C7" s="13">
        <f>IF(B7=MAX($B$4:$B$13),"TOP PRODUCT","")</f>
        <v/>
      </c>
      <c r="E7" s="3" t="inlineStr">
        <is>
          <t>Anaya Desai</t>
        </is>
      </c>
      <c r="F7" s="13">
        <f>LEFT(E7,1)&amp;"."&amp;MID(E7,FIND(" ",E7)+1,1)&amp;"."</f>
        <v/>
      </c>
    </row>
    <row r="8">
      <c r="A8" s="3" t="inlineStr">
        <is>
          <t>Premium Pen</t>
        </is>
      </c>
      <c r="B8" s="13">
        <f>COUNTIF('Raw Data'!$F$2:$F$251,A8)</f>
        <v/>
      </c>
      <c r="C8" s="13">
        <f>IF(B8=MAX($B$4:$B$13),"TOP PRODUCT","")</f>
        <v/>
      </c>
      <c r="E8" s="3" t="inlineStr">
        <is>
          <t>Arjun Joshi</t>
        </is>
      </c>
      <c r="F8" s="13">
        <f>LEFT(E8,1)&amp;"."&amp;MID(E8,FIND(" ",E8)+1,1)&amp;"."</f>
        <v/>
      </c>
    </row>
    <row r="9">
      <c r="A9" s="3" t="inlineStr">
        <is>
          <t>Water Bottle</t>
        </is>
      </c>
      <c r="B9" s="13">
        <f>COUNTIF('Raw Data'!$F$2:$F$251,A9)</f>
        <v/>
      </c>
      <c r="C9" s="13">
        <f>IF(B9=MAX($B$4:$B$13),"TOP PRODUCT","")</f>
        <v/>
      </c>
      <c r="E9" s="3" t="inlineStr">
        <is>
          <t>Isha Trivedi</t>
        </is>
      </c>
      <c r="F9" s="13">
        <f>LEFT(E9,1)&amp;"."&amp;MID(E9,FIND(" ",E9)+1,1)&amp;"."</f>
        <v/>
      </c>
    </row>
    <row r="10">
      <c r="A10" s="3" t="inlineStr">
        <is>
          <t>Backpack</t>
        </is>
      </c>
      <c r="B10" s="13">
        <f>COUNTIF('Raw Data'!$F$2:$F$251,A10)</f>
        <v/>
      </c>
      <c r="C10" s="13">
        <f>IF(B10=MAX($B$4:$B$13),"TOP PRODUCT","")</f>
        <v/>
      </c>
      <c r="E10" s="3" t="inlineStr">
        <is>
          <t>Reyansh Modi</t>
        </is>
      </c>
      <c r="F10" s="13">
        <f>LEFT(E10,1)&amp;"."&amp;MID(E10,FIND(" ",E10)+1,1)&amp;"."</f>
        <v/>
      </c>
    </row>
    <row r="11">
      <c r="A11" s="3" t="inlineStr">
        <is>
          <t>Desk Lamp</t>
        </is>
      </c>
      <c r="B11" s="13">
        <f>COUNTIF('Raw Data'!$F$2:$F$251,A11)</f>
        <v/>
      </c>
      <c r="C11" s="13">
        <f>IF(B11=MAX($B$4:$B$13),"TOP PRODUCT","")</f>
        <v/>
      </c>
      <c r="E11" s="3" t="inlineStr">
        <is>
          <t>Myra Shah</t>
        </is>
      </c>
      <c r="F11" s="13">
        <f>LEFT(E11,1)&amp;"."&amp;MID(E11,FIND(" ",E11)+1,1)&amp;"."</f>
        <v/>
      </c>
    </row>
    <row r="12">
      <c r="A12" s="3" t="inlineStr">
        <is>
          <t>Coffee Mug</t>
        </is>
      </c>
      <c r="B12" s="13">
        <f>COUNTIF('Raw Data'!$F$2:$F$251,A12)</f>
        <v/>
      </c>
      <c r="C12" s="13">
        <f>IF(B12=MAX($B$4:$B$13),"TOP PRODUCT","")</f>
        <v/>
      </c>
      <c r="E12" s="3" t="inlineStr">
        <is>
          <t>Aditya Patel</t>
        </is>
      </c>
      <c r="F12" s="13">
        <f>LEFT(E12,1)&amp;"."&amp;MID(E12,FIND(" ",E12)+1,1)&amp;"."</f>
        <v/>
      </c>
    </row>
    <row r="13">
      <c r="A13" s="3" t="inlineStr">
        <is>
          <t>Headphones</t>
        </is>
      </c>
      <c r="B13" s="13">
        <f>COUNTIF('Raw Data'!$F$2:$F$251,A13)</f>
        <v/>
      </c>
      <c r="C13" s="13">
        <f>IF(B13=MAX($B$4:$B$13),"TOP PRODUCT","")</f>
        <v/>
      </c>
      <c r="E13" s="3" t="inlineStr">
        <is>
          <t>Sara Mehta</t>
        </is>
      </c>
      <c r="F13" s="13">
        <f>LEFT(E13,1)&amp;"."&amp;MID(E13,FIND(" ",E13)+1,1)&amp;"."</f>
        <v/>
      </c>
    </row>
    <row r="14">
      <c r="E14" s="3" t="inlineStr">
        <is>
          <t>Krish Dave</t>
        </is>
      </c>
      <c r="F14" s="13">
        <f>LEFT(E14,1)&amp;"."&amp;MID(E14,FIND(" ",E14)+1,1)&amp;"."</f>
        <v/>
      </c>
    </row>
    <row r="15">
      <c r="E15" s="3" t="inlineStr">
        <is>
          <t>Kiara Joshi</t>
        </is>
      </c>
      <c r="F15" s="13">
        <f>LEFT(E15,1)&amp;"."&amp;MID(E15,FIND(" ",E15)+1,1)&amp;"."</f>
        <v/>
      </c>
    </row>
    <row r="16">
      <c r="A16" s="16" t="inlineStr">
        <is>
          <t>Compare two lists and extract matching names</t>
        </is>
      </c>
      <c r="E16" s="3" t="inlineStr">
        <is>
          <t>Rudra Desai</t>
        </is>
      </c>
      <c r="F16" s="13">
        <f>LEFT(E16,1)&amp;"."&amp;MID(E16,FIND(" ",E16)+1,1)&amp;"."</f>
        <v/>
      </c>
    </row>
    <row r="17">
      <c r="A17" s="11" t="inlineStr">
        <is>
          <t>List A (Customer)</t>
        </is>
      </c>
      <c r="B17" s="11" t="inlineStr">
        <is>
          <t>List B (VIP list)</t>
        </is>
      </c>
      <c r="C17" s="11" t="inlineStr">
        <is>
          <t>Match in new column</t>
        </is>
      </c>
      <c r="E17" s="2" t="inlineStr">
        <is>
          <t>FILTER multi-value return</t>
        </is>
      </c>
      <c r="F17" s="13">
        <f>LEFT(E17,1)&amp;"."&amp;MID(E17,FIND(" ",E17)+1,1)&amp;"."</f>
        <v/>
      </c>
    </row>
    <row r="18">
      <c r="A18" s="3" t="inlineStr">
        <is>
          <t>Aarav Patel</t>
        </is>
      </c>
      <c r="B18" s="3" t="inlineStr">
        <is>
          <t>Vivaan Mehta</t>
        </is>
      </c>
      <c r="C18" s="13">
        <f>IF(COUNTIF($B$18:$B$37,A18)&gt;0,A18,"")</f>
        <v/>
      </c>
      <c r="E18" s="13">
        <f>FILTER(A18:A37,C18:C37&lt;&gt;"","No matches")</f>
        <v/>
      </c>
      <c r="F18" s="13">
        <f>LEFT(E18,1)&amp;"."&amp;MID(E18,FIND(" ",E18)+1,1)&amp;"."</f>
        <v/>
      </c>
    </row>
    <row r="19">
      <c r="A19" s="3" t="inlineStr">
        <is>
          <t>Diya Shah</t>
        </is>
      </c>
      <c r="B19" s="3" t="inlineStr">
        <is>
          <t>Anaya Desai</t>
        </is>
      </c>
      <c r="C19" s="13">
        <f>IF(COUNTIF($B$18:$B$37,A19)&gt;0,A19,"")</f>
        <v/>
      </c>
      <c r="E19" s="3" t="inlineStr">
        <is>
          <t>Avni Patel</t>
        </is>
      </c>
      <c r="F19" s="13">
        <f>LEFT(E19,1)&amp;"."&amp;MID(E19,FIND(" ",E19)+1,1)&amp;"."</f>
        <v/>
      </c>
    </row>
    <row r="20">
      <c r="A20" s="3" t="inlineStr">
        <is>
          <t>Vivaan Mehta</t>
        </is>
      </c>
      <c r="B20" s="3" t="inlineStr">
        <is>
          <t>Arjun Joshi</t>
        </is>
      </c>
      <c r="C20" s="13">
        <f>IF(COUNTIF($B$18:$B$37,A20)&gt;0,A20,"")</f>
        <v/>
      </c>
      <c r="E20" s="2" t="inlineStr">
        <is>
          <t>TEXT abbreviation example</t>
        </is>
      </c>
      <c r="F20" s="13">
        <f>LEFT(E20,1)&amp;"."&amp;MID(E20,FIND(" ",E20)+1,1)&amp;"."</f>
        <v/>
      </c>
    </row>
    <row r="21">
      <c r="A21" s="3" t="inlineStr">
        <is>
          <t>Anaya Desai</t>
        </is>
      </c>
      <c r="B21" s="3" t="inlineStr">
        <is>
          <t>Isha Trivedi</t>
        </is>
      </c>
      <c r="C21" s="13">
        <f>IF(COUNTIF($B$18:$B$37,A21)&gt;0,A21,"")</f>
        <v/>
      </c>
      <c r="E21" s="13">
        <f>TEXT(TODAY(),"dd-mmm-yyyy")</f>
        <v/>
      </c>
      <c r="F21" s="3" t="inlineStr">
        <is>
          <t>Date formatted as text</t>
        </is>
      </c>
    </row>
    <row r="22">
      <c r="A22" s="3" t="inlineStr">
        <is>
          <t>Arjun Joshi</t>
        </is>
      </c>
      <c r="B22" s="3" t="inlineStr">
        <is>
          <t>Reyansh Modi</t>
        </is>
      </c>
      <c r="C22" s="13">
        <f>IF(COUNTIF($B$18:$B$37,A22)&gt;0,A22,"")</f>
        <v/>
      </c>
      <c r="E22" s="3" t="inlineStr">
        <is>
          <t>Dhruv Joshi</t>
        </is>
      </c>
      <c r="F22" s="13">
        <f>LEFT(E22,1)&amp;"."&amp;MID(E22,FIND(" ",E22)+1,1)&amp;"."</f>
        <v/>
      </c>
    </row>
    <row r="23">
      <c r="A23" s="3" t="inlineStr">
        <is>
          <t>Isha Trivedi</t>
        </is>
      </c>
      <c r="B23" s="3" t="inlineStr">
        <is>
          <t>Myra Shah</t>
        </is>
      </c>
      <c r="C23" s="13">
        <f>IF(COUNTIF($B$18:$B$37,A23)&gt;0,A23,"")</f>
        <v/>
      </c>
      <c r="E23" s="3" t="inlineStr">
        <is>
          <t>Riya Modi</t>
        </is>
      </c>
      <c r="F23" s="13">
        <f>LEFT(E23,1)&amp;"."&amp;MID(E23,FIND(" ",E23)+1,1)&amp;"."</f>
        <v/>
      </c>
    </row>
    <row r="24">
      <c r="A24" s="3" t="inlineStr">
        <is>
          <t>Reyansh Modi</t>
        </is>
      </c>
      <c r="B24" s="3" t="inlineStr">
        <is>
          <t>Aditya Patel</t>
        </is>
      </c>
      <c r="C24" s="13">
        <f>IF(COUNTIF($B$18:$B$37,A24)&gt;0,A24,"")</f>
        <v/>
      </c>
      <c r="E24" s="3" t="inlineStr">
        <is>
          <t>Manav Shah</t>
        </is>
      </c>
      <c r="F24" s="13">
        <f>LEFT(E24,1)&amp;"."&amp;MID(E24,FIND(" ",E24)+1,1)&amp;"."</f>
        <v/>
      </c>
    </row>
    <row r="25">
      <c r="A25" s="3" t="inlineStr">
        <is>
          <t>Myra Shah</t>
        </is>
      </c>
      <c r="B25" s="3" t="inlineStr">
        <is>
          <t>Sara Mehta</t>
        </is>
      </c>
      <c r="C25" s="13">
        <f>IF(COUNTIF($B$18:$B$37,A25)&gt;0,A25,"")</f>
        <v/>
      </c>
      <c r="E25" s="3" t="inlineStr">
        <is>
          <t>Pari Patel</t>
        </is>
      </c>
      <c r="F25" s="13">
        <f>LEFT(E25,1)&amp;"."&amp;MID(E25,FIND(" ",E25)+1,1)&amp;"."</f>
        <v/>
      </c>
    </row>
    <row r="26">
      <c r="A26" s="3" t="inlineStr">
        <is>
          <t>Aditya Patel</t>
        </is>
      </c>
      <c r="B26" s="3" t="inlineStr">
        <is>
          <t>Krish Dave</t>
        </is>
      </c>
      <c r="C26" s="13">
        <f>IF(COUNTIF($B$18:$B$37,A26)&gt;0,A26,"")</f>
        <v/>
      </c>
      <c r="E26" s="3" t="inlineStr">
        <is>
          <t>Yash Mehta</t>
        </is>
      </c>
      <c r="F26" s="13">
        <f>LEFT(E26,1)&amp;"."&amp;MID(E26,FIND(" ",E26)+1,1)&amp;"."</f>
        <v/>
      </c>
    </row>
    <row r="27">
      <c r="A27" s="3" t="inlineStr">
        <is>
          <t>Sara Mehta</t>
        </is>
      </c>
      <c r="B27" s="3" t="inlineStr">
        <is>
          <t>Kiara Joshi</t>
        </is>
      </c>
      <c r="C27" s="13">
        <f>IF(COUNTIF($B$18:$B$37,A27)&gt;0,A27,"")</f>
        <v/>
      </c>
      <c r="E27" s="3" t="inlineStr">
        <is>
          <t>Saanvi Dave</t>
        </is>
      </c>
      <c r="F27" s="13">
        <f>LEFT(E27,1)&amp;"."&amp;MID(E27,FIND(" ",E27)+1,1)&amp;"."</f>
        <v/>
      </c>
    </row>
    <row r="28">
      <c r="A28" s="3" t="inlineStr">
        <is>
          <t>Krish Dave</t>
        </is>
      </c>
      <c r="B28" s="3" t="inlineStr">
        <is>
          <t>Rohan Gandhi</t>
        </is>
      </c>
      <c r="C28" s="13">
        <f>IF(COUNTIF($B$18:$B$37,A28)&gt;0,A28,"")</f>
        <v/>
      </c>
      <c r="E28" s="3" t="inlineStr">
        <is>
          <t>Neil Trivedi</t>
        </is>
      </c>
      <c r="F28" s="13">
        <f>LEFT(E28,1)&amp;"."&amp;MID(E28,FIND(" ",E28)+1,1)&amp;"."</f>
        <v/>
      </c>
    </row>
    <row r="29">
      <c r="A29" s="3" t="inlineStr">
        <is>
          <t>Kiara Joshi</t>
        </is>
      </c>
      <c r="B29" s="3" t="inlineStr">
        <is>
          <t>Meera Patel</t>
        </is>
      </c>
      <c r="C29" s="13">
        <f>IF(COUNTIF($B$18:$B$37,A29)&gt;0,A29,"")</f>
        <v/>
      </c>
      <c r="E29" s="3" t="inlineStr">
        <is>
          <t>Mira Joshi</t>
        </is>
      </c>
      <c r="F29" s="13">
        <f>LEFT(E29,1)&amp;"."&amp;MID(E29,FIND(" ",E29)+1,1)&amp;"."</f>
        <v/>
      </c>
    </row>
    <row r="30">
      <c r="A30" s="3" t="inlineStr">
        <is>
          <t>Rudra Desai</t>
        </is>
      </c>
      <c r="B30" s="3" t="inlineStr">
        <is>
          <t>Vivaan Mehta</t>
        </is>
      </c>
      <c r="C30" s="13">
        <f>IF(COUNTIF($B$18:$B$37,A30)&gt;0,A30,"")</f>
        <v/>
      </c>
      <c r="E30" s="3" t="inlineStr">
        <is>
          <t>Ayaan Desai</t>
        </is>
      </c>
      <c r="F30" s="13">
        <f>LEFT(E30,1)&amp;"."&amp;MID(E30,FIND(" ",E30)+1,1)&amp;"."</f>
        <v/>
      </c>
    </row>
    <row r="31">
      <c r="A31" s="3" t="inlineStr">
        <is>
          <t>Aanya Parmar</t>
        </is>
      </c>
      <c r="B31" s="3" t="inlineStr">
        <is>
          <t>Anaya Desai</t>
        </is>
      </c>
      <c r="C31" s="13">
        <f>IF(COUNTIF($B$18:$B$37,A31)&gt;0,A31,"")</f>
        <v/>
      </c>
      <c r="E31" s="3" t="inlineStr">
        <is>
          <t>Tara Shah</t>
        </is>
      </c>
      <c r="F31" s="13">
        <f>LEFT(E31,1)&amp;"."&amp;MID(E31,FIND(" ",E31)+1,1)&amp;"."</f>
        <v/>
      </c>
    </row>
    <row r="32">
      <c r="A32" s="3" t="inlineStr">
        <is>
          <t>Dev Shah</t>
        </is>
      </c>
      <c r="B32" s="3" t="inlineStr">
        <is>
          <t>Arjun Joshi</t>
        </is>
      </c>
      <c r="C32" s="13">
        <f>IF(COUNTIF($B$18:$B$37,A32)&gt;0,A32,"")</f>
        <v/>
      </c>
      <c r="E32" s="3" t="inlineStr">
        <is>
          <t>Om Patel</t>
        </is>
      </c>
      <c r="F32" s="13">
        <f>LEFT(E32,1)&amp;"."&amp;MID(E32,FIND(" ",E32)+1,1)&amp;"."</f>
        <v/>
      </c>
    </row>
    <row r="33">
      <c r="A33" s="3" t="inlineStr">
        <is>
          <t>Avni Patel</t>
        </is>
      </c>
      <c r="B33" s="3" t="inlineStr">
        <is>
          <t>Isha Trivedi</t>
        </is>
      </c>
      <c r="C33" s="13">
        <f>IF(COUNTIF($B$18:$B$37,A33)&gt;0,A33,"")</f>
        <v/>
      </c>
      <c r="E33" s="3" t="inlineStr">
        <is>
          <t>Zoya Mehta</t>
        </is>
      </c>
      <c r="F33" s="13">
        <f>LEFT(E33,1)&amp;"."&amp;MID(E33,FIND(" ",E33)+1,1)&amp;"."</f>
        <v/>
      </c>
    </row>
    <row r="34">
      <c r="A34" s="3" t="inlineStr">
        <is>
          <t>Kabir Mehta</t>
        </is>
      </c>
      <c r="B34" s="3" t="inlineStr">
        <is>
          <t>Reyansh Modi</t>
        </is>
      </c>
      <c r="C34" s="13">
        <f>IF(COUNTIF($B$18:$B$37,A34)&gt;0,A34,"")</f>
        <v/>
      </c>
    </row>
    <row r="35">
      <c r="A35" s="3" t="inlineStr">
        <is>
          <t>Navya Desai</t>
        </is>
      </c>
      <c r="B35" s="3" t="inlineStr">
        <is>
          <t>Myra Shah</t>
        </is>
      </c>
      <c r="C35" s="13">
        <f>IF(COUNTIF($B$18:$B$37,A35)&gt;0,A35,"")</f>
        <v/>
      </c>
    </row>
    <row r="36">
      <c r="A36" s="3" t="inlineStr">
        <is>
          <t>Dhruv Joshi</t>
        </is>
      </c>
      <c r="B36" s="3" t="inlineStr">
        <is>
          <t>Aditya Patel</t>
        </is>
      </c>
      <c r="C36" s="13">
        <f>IF(COUNTIF($B$18:$B$37,A36)&gt;0,A36,"")</f>
        <v/>
      </c>
    </row>
    <row r="37">
      <c r="A37" s="3" t="inlineStr">
        <is>
          <t>Riya Modi</t>
        </is>
      </c>
      <c r="B37" s="3" t="inlineStr">
        <is>
          <t>Sara Mehta</t>
        </is>
      </c>
      <c r="C37" s="13">
        <f>IF(COUNTIF($B$18:$B$37,A37)&gt;0,A37,"")</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2026-10-23T11:26:19Z</dcterms:created>
  <dcterms:modified xmlns:dcterms="http://purl.org/dc/terms/" xmlns:xsi="http://www.w3.org/2001/XMLSchema-instance" xsi:type="dcterms:W3CDTF">2026-10-23T11:26:19Z</dcterms:modified>
</cp:coreProperties>
</file>